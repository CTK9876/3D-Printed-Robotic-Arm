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0766d6381f41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e068dfe08bf94354"/>
    <x:sheet xmlns:r="http://schemas.openxmlformats.org/officeDocument/2006/relationships" name="Missing Inputs" sheetId="2" r:id="R4499e0e3ec484b70"/>
    <x:sheet xmlns:r="http://schemas.openxmlformats.org/officeDocument/2006/relationships" name="Firmware Facts" sheetId="3" r:id="R3d38e98ff4f6424e"/>
    <x:sheet xmlns:r="http://schemas.openxmlformats.org/officeDocument/2006/relationships" name="Bill of Materials" sheetId="4" r:id="R3e11a1a76404478d"/>
    <x:sheet xmlns:r="http://schemas.openxmlformats.org/officeDocument/2006/relationships" name="Printing Log" sheetId="5" r:id="R471c7141f9574a4c"/>
    <x:sheet xmlns:r="http://schemas.openxmlformats.org/officeDocument/2006/relationships" name="Test Log" sheetId="6" r:id="Rca8f36402a5048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9">
    <x:font>
      <x:sz val="11"/>
      <x:name val="Carlito"/>
    </x:font>
    <x:font>
      <x:b/>
      <x:sz val="17"/>
      <x:color rgb="FFFFFFFF"/>
      <x:name val="Carlito"/>
    </x:font>
    <x:font>
      <x:sz val="11"/>
      <x:color rgb="FF14263C"/>
      <x:name val="Carlito"/>
    </x:font>
    <x:font>
      <x:b/>
      <x:sz val="11"/>
      <x:color rgb="FFFFFFFF"/>
      <x:name val="Carlito"/>
    </x:font>
    <x:font>
      <x:b/>
      <x:sz val="12"/>
      <x:color rgb="FF14263C"/>
      <x:name val="Carlito"/>
    </x:font>
    <x:font>
      <x:b/>
      <x:sz val="11"/>
      <x:color rgb="FF14263C"/>
      <x:name val="Carlito"/>
    </x:font>
    <x:font>
      <x:b/>
      <x:sz val="13"/>
      <x:color rgb="FF2364AA"/>
      <x:name val="Carlito"/>
    </x:font>
    <x:font>
      <x:b/>
      <x:sz val="16"/>
      <x:color rgb="FFFFFFFF"/>
      <x:name val="Carlito"/>
    </x:font>
    <x:font>
      <x:b/>
      <x:sz val="11"/>
      <x:color rgb="FF7B41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63C"/>
      </x:patternFill>
    </x:fill>
    <x:fill>
      <x:patternFill patternType="solid">
        <x:fgColor rgb="FFDDEAF7"/>
      </x:patternFill>
    </x:fill>
    <x:fill>
      <x:patternFill patternType="solid">
        <x:fgColor rgb="FFF4F7FB"/>
      </x:patternFill>
    </x:fill>
    <x:fill>
      <x:patternFill patternType="solid">
        <x:fgColor rgb="FFFFF4D9"/>
      </x:patternFill>
    </x:fill>
    <x:fill>
      <x:patternFill patternType="solid">
        <x:fgColor rgb="FF2364AA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2623D"/>
      </x:font>
      <x:fill>
        <x:patternFill patternType="solid">
          <x:bgColor rgb="FFE2F4E9"/>
        </x:patternFill>
      </x:fill>
    </x:dxf>
    <x:dxf>
      <x:fill>
        <x:patternFill patternType="solid">
          <x:bgColor rgb="FFFFF4D9"/>
        </x:patternFill>
      </x:fill>
    </x:dxf>
    <x:dxf>
      <x:font>
        <x:b/>
        <x:color rgb="FF146C43"/>
      </x:font>
      <x:fill>
        <x:patternFill patternType="solid">
          <x:bgColor rgb="FFE2F4E9"/>
        </x:patternFill>
      </x:fill>
    </x:dxf>
    <x:dxf>
      <x:font>
        <x:b/>
        <x:color rgb="FFA21A2B"/>
      </x:font>
      <x:fill>
        <x:patternFill patternType="solid">
          <x:bgColor rgb="FFFC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e798ea1cc24871" /><Relationship Type="http://schemas.openxmlformats.org/officeDocument/2006/relationships/theme" Target="/xl/theme/theme1.xml" Id="R5ccc7420fc42437d" /><Relationship Type="http://schemas.openxmlformats.org/officeDocument/2006/relationships/sharedStrings" Target="/xl/sharedStrings.xml" Id="R73f96962b08c41ce" /><Relationship Type="http://schemas.openxmlformats.org/officeDocument/2006/relationships/worksheet" Target="/xl/worksheets/sheet1.xml" Id="Re068dfe08bf94354" /><Relationship Type="http://schemas.openxmlformats.org/officeDocument/2006/relationships/worksheet" Target="/xl/worksheets/sheet2.xml" Id="R4499e0e3ec484b70" /><Relationship Type="http://schemas.openxmlformats.org/officeDocument/2006/relationships/worksheet" Target="/xl/worksheets/sheet3.xml" Id="R3d38e98ff4f6424e" /><Relationship Type="http://schemas.openxmlformats.org/officeDocument/2006/relationships/worksheet" Target="/xl/worksheets/sheet4.xml" Id="R3e11a1a76404478d" /><Relationship Type="http://schemas.openxmlformats.org/officeDocument/2006/relationships/worksheet" Target="/xl/worksheets/sheet5.xml" Id="R471c7141f9574a4c" /><Relationship Type="http://schemas.openxmlformats.org/officeDocument/2006/relationships/worksheet" Target="/xl/worksheets/sheet6.xml" Id="Rca8f36402a50481f" /></Relationships>
</file>

<file path=xl/tables/table1.xml><?xml version="1.0" encoding="utf-8"?>
<x:table xmlns:x="http://schemas.openxmlformats.org/spreadsheetml/2006/main" id="1" name="RoboticArmQuestions" displayName="RoboticArmQuestions" ref="A4:I54" headerRowCount="1" totalsRowCount="0" totalsRowShown="0">
  <x:tableColumns count="9">
    <x:tableColumn id="1" name="ID"/>
    <x:tableColumn id="2" name="Category"/>
    <x:tableColumn id="3" name="Priority"/>
    <x:tableColumn id="4" name="Question / Required value"/>
    <x:tableColumn id="5" name="Known / observed"/>
    <x:tableColumn id="6" name="YOUR CONFIRMED VALUE"/>
    <x:tableColumn id="7" name="Unit"/>
    <x:tableColumn id="8" name="Status"/>
    <x:tableColumn id="9" name="Evidence or measurement instruc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d1c532b2dd4929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4" customHeight="1">
      <x:c r="A1" s="4" t="str">
        <x:v>ROBOTIC ARM | ENGINEERING DATA COLLECTION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4" ht="31" customHeight="1">
      <x:c r="A4" s="10" t="str">
        <x:v>Complete the highlighted answer cells, then send the workbook back to update the public GitHub portfolio.</x:v>
      </x:c>
      <x:c r="B4" s="10"/>
      <x:c r="C4" s="10"/>
      <x:c r="D4" s="10"/>
      <x:c r="E4" s="10"/>
      <x:c r="F4" s="10"/>
      <x:c r="G4" s="10"/>
      <x:c r="H4" s="10"/>
    </x:row>
    <x:row r="6" ht="34" customHeight="1">
      <x:c r="A6" s="17" t="str">
        <x:v>KNOWN FROM UPLOADED CODE</x:v>
      </x:c>
      <x:c r="B6" s="21" t="str">
        <x:v>4 servo outputs</x:v>
      </x:c>
      <x:c r="C6" s="21" t="str">
        <x:v>PCA9685 @ 50 Hz</x:v>
      </x:c>
      <x:c r="D6" s="21" t="str">
        <x:v>Joystick analog A0–A3</x:v>
      </x:c>
      <x:c r="E6" t="str"/>
      <x:c r="F6" t="str"/>
      <x:c r="G6" t="str"/>
      <x:c r="H6" t="str"/>
    </x:row>
    <x:row r="7" ht="34" customHeight="1">
      <x:c r="A7" s="17" t="str">
        <x:v>VERIFICATION NEEDED</x:v>
      </x:c>
      <x:c r="B7" s="21" t="str">
        <x:v>Exact hardware models</x:v>
      </x:c>
      <x:c r="C7" s="21" t="str">
        <x:v>As-built pin / power wiring</x:v>
      </x:c>
      <x:c r="D7" s="21" t="str">
        <x:v>Dimensions and material</x:v>
      </x:c>
      <x:c r="E7" t="str"/>
      <x:c r="F7" t="str"/>
      <x:c r="G7" t="str"/>
      <x:c r="H7" t="str"/>
    </x:row>
    <x:row r="8" ht="34" customHeight="1">
      <x:c r="A8" s="17" t="str">
        <x:v>VALIDATION NEEDED</x:v>
      </x:c>
      <x:c r="B8" s="21" t="str">
        <x:v>Actual startup movement</x:v>
      </x:c>
      <x:c r="C8" s="21" t="str">
        <x:v>Servo-safe pulse calibration</x:v>
      </x:c>
      <x:c r="D8" s="21" t="str">
        <x:v>Motion and gripper tests</x:v>
      </x:c>
      <x:c r="E8" t="str"/>
      <x:c r="F8" t="str"/>
      <x:c r="G8" t="str"/>
      <x:c r="H8" t="str"/>
    </x:row>
    <x:row r="10">
      <x:c r="A10" s="24" t="str">
        <x:v>CHECKLIST PROGRESS</x:v>
      </x:c>
    </x:row>
    <x:row r="11" ht="26" customHeight="1">
      <x:c r="A11" s="26" t="str">
        <x:v>Total questions</x:v>
      </x:c>
      <x:c r="B11" s="29" t="n">
        <x:v>50</x:v>
      </x:c>
    </x:row>
    <x:row r="12" ht="26" customHeight="1">
      <x:c r="A12" s="26" t="str">
        <x:v>Completed</x:v>
      </x:c>
      <x:c r="B12" s="29" t="n">
        <x:f>COUNTIF('Missing Inputs'!H5:H65,"Provided")</x:f>
        <x:v>0</x:v>
      </x:c>
    </x:row>
    <x:row r="13" ht="26" customHeight="1">
      <x:c r="A13" s="26" t="str">
        <x:v>Not applicable</x:v>
      </x:c>
      <x:c r="B13" s="29" t="n">
        <x:f>COUNTIF('Missing Inputs'!H5:H65,"Not applicable")</x:f>
        <x:v>0</x:v>
      </x:c>
    </x:row>
    <x:row r="14" ht="26" customHeight="1">
      <x:c r="A14" s="26" t="str">
        <x:v>Remaining</x:v>
      </x:c>
      <x:c r="B14" s="29" t="n">
        <x:f>B11-B12-B13</x:f>
        <x:v>50</x:v>
      </x:c>
    </x:row>
    <x:row r="17" ht="28" customHeight="1">
      <x:c r="A17" s="32" t="str">
        <x:v>WORKSHEET</x:v>
      </x:c>
      <x:c r="B17" s="32" t="str">
        <x:v>PURPOSE</x:v>
      </x:c>
    </x:row>
    <x:row r="18" ht="27" customHeight="1">
      <x:c r="A18" s="14" t="str">
        <x:v>Missing Inputs</x:v>
      </x:c>
      <x:c r="B18" s="14" t="str">
        <x:v>All missing values and design evidence to provide</x:v>
      </x:c>
    </x:row>
    <x:row r="19" ht="27" customHeight="1">
      <x:c r="A19" s="14" t="str">
        <x:v>Firmware Facts</x:v>
      </x:c>
      <x:c r="B19" s="14" t="str">
        <x:v>Code-derived values; verify against hardware</x:v>
      </x:c>
    </x:row>
    <x:row r="20" ht="27" customHeight="1">
      <x:c r="A20" s="14" t="str">
        <x:v>Bill of Materials</x:v>
      </x:c>
      <x:c r="B20" s="14" t="str">
        <x:v>Components, manufacturer, price and quantity</x:v>
      </x:c>
    </x:row>
    <x:row r="21" ht="27" customHeight="1">
      <x:c r="A21" s="14" t="str">
        <x:v>Printing Log</x:v>
      </x:c>
      <x:c r="B21" s="14" t="str">
        <x:v>Slicer settings and manufacturing evidence</x:v>
      </x:c>
    </x:row>
    <x:row r="22" ht="27" customHeight="1">
      <x:c r="A22" s="14" t="str">
        <x:v>Test Log</x:v>
      </x:c>
      <x:c r="B22" s="14" t="str">
        <x:v>Objective observations and measured results</x:v>
      </x:c>
    </x:row>
    <x:row r="23" ht="27" customHeight="1">
      <x:c r="A23" s="14" t="str">
        <x:v>START HERE</x:v>
      </x:c>
      <x:c r="B23" s="14" t="str">
        <x:v>Directions and status dashboard</x:v>
      </x:c>
    </x:row>
    <x:row r="26" ht="28" customHeight="1">
      <x:c r="A26" s="36" t="str">
        <x:v>Yellow cells = your answer; blue-gray cells = reference values from code/photos; do not invent missing measurements.</x:v>
      </x:c>
      <x:c r="B26" s="36"/>
      <x:c r="C26" s="36"/>
      <x:c r="D26" s="36"/>
      <x:c r="E26" s="36"/>
      <x:c r="F26" s="36"/>
      <x:c r="G26" s="36"/>
      <x:c r="H26" s="36"/>
    </x:row>
  </x:sheetData>
  <x:mergeCells>
    <x:mergeCell ref="A1:H2"/>
    <x:mergeCell ref="A4:H4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5" hidden="0" customWidth="1"/>
    <x:col min="3" max="3" width="13" hidden="0" customWidth="1"/>
    <x:col min="4" max="4" width="43" hidden="0" customWidth="1"/>
    <x:col min="5" max="5" width="52" hidden="0" customWidth="1"/>
    <x:col min="6" max="6" width="35" hidden="0" customWidth="1"/>
    <x:col min="7" max="7" width="17" hidden="0" customWidth="1"/>
    <x:col min="8" max="8" width="17" hidden="0" customWidth="1"/>
    <x:col min="9" max="9" width="54" hidden="0" customWidth="1"/>
  </x:cols>
  <x:sheetData>
    <x:row r="1" ht="22" customHeight="1">
      <x:c r="A1" s="40" t="str">
        <x:v>DATA REQUEST | WHAT I NEED FROM YOU</x:v>
      </x:c>
      <x:c r="B1" s="40"/>
      <x:c r="C1" s="40"/>
      <x:c r="D1" s="40"/>
      <x:c r="E1" s="40"/>
      <x:c r="F1" s="40"/>
      <x:c r="G1" s="40"/>
      <x:c r="H1" s="40"/>
      <x:c r="I1" s="40"/>
    </x:row>
    <x:row r="2" ht="22" customHeight="1">
      <x:c r="A2" s="40"/>
      <x:c r="B2" s="40"/>
      <x:c r="C2" s="40"/>
      <x:c r="D2" s="40"/>
      <x:c r="E2" s="40"/>
      <x:c r="F2" s="40"/>
      <x:c r="G2" s="40"/>
      <x:c r="H2" s="40"/>
      <x:c r="I2" s="40"/>
    </x:row>
    <x:row r="3" ht="30" customHeight="1">
      <x:c r="A3" s="10" t="str">
        <x:v>Fill column F and change status in H to Provided; code facts in E are not automatically proof of installed hardware.</x:v>
      </x:c>
      <x:c r="B3" s="10"/>
      <x:c r="C3" s="10"/>
      <x:c r="D3" s="10"/>
      <x:c r="E3" s="10"/>
      <x:c r="F3" s="10"/>
      <x:c r="G3" s="10"/>
      <x:c r="H3" s="10"/>
      <x:c r="I3" s="10"/>
    </x:row>
    <x:row r="4" ht="32" customHeight="1">
      <x:c r="A4" s="44" t="str">
        <x:v>ID</x:v>
      </x:c>
      <x:c r="B4" s="44" t="str">
        <x:v>Category</x:v>
      </x:c>
      <x:c r="C4" s="44" t="str">
        <x:v>Priority</x:v>
      </x:c>
      <x:c r="D4" s="44" t="str">
        <x:v>Question / Required value</x:v>
      </x:c>
      <x:c r="E4" s="44" t="str">
        <x:v>Known / observed</x:v>
      </x:c>
      <x:c r="F4" s="44" t="str">
        <x:v>YOUR CONFIRMED VALUE</x:v>
      </x:c>
      <x:c r="G4" s="44" t="str">
        <x:v>Unit</x:v>
      </x:c>
      <x:c r="H4" s="44" t="str">
        <x:v>Status</x:v>
      </x:c>
      <x:c r="I4" s="44" t="str">
        <x:v>Evidence or measurement instructions</x:v>
      </x:c>
    </x:row>
    <x:row r="5" ht="45" customHeight="1">
      <x:c r="A5" s="48" t="str">
        <x:v>ME-01</x:v>
      </x:c>
      <x:c r="B5" s="48" t="str">
        <x:v>Mechanical</x:v>
      </x:c>
      <x:c r="C5" s="48" t="str">
        <x:v>High</x:v>
      </x:c>
      <x:c r="D5" s="48" t="str">
        <x:v>Total actuated axes / degrees of freedom</x:v>
      </x:c>
      <x:c r="E5" s="52" t="str">
        <x:v>Code drives four servo outputs including gripper.</x:v>
      </x:c>
      <x:c r="F5" s="50" t="str"/>
      <x:c r="G5" s="48" t="str">
        <x:v>axes</x:v>
      </x:c>
      <x:c r="H5" s="48" t="str">
        <x:v>Needed</x:v>
      </x:c>
      <x:c r="I5" s="48" t="str">
        <x:v>Count independent motions; separate gripper from positioning axes.</x:v>
      </x:c>
    </x:row>
    <x:row r="6" ht="45" customHeight="1">
      <x:c r="A6" s="48" t="str">
        <x:v>ME-02</x:v>
      </x:c>
      <x:c r="B6" s="48" t="str">
        <x:v>Mechanical</x:v>
      </x:c>
      <x:c r="C6" s="48" t="str">
        <x:v>High</x:v>
      </x:c>
      <x:c r="D6" s="48" t="str">
        <x:v>Overall assembled dimensions (W × D × H)</x:v>
      </x:c>
      <x:c r="E6" s="52" t="str">
        <x:v>Photos show a round base and articulated arm.</x:v>
      </x:c>
      <x:c r="F6" s="50" t="str"/>
      <x:c r="G6" s="48" t="str">
        <x:v>mm</x:v>
      </x:c>
      <x:c r="H6" s="48" t="str">
        <x:v>Needed</x:v>
      </x:c>
      <x:c r="I6" s="48" t="str">
        <x:v>Measure in a repeatable reference pose.</x:v>
      </x:c>
    </x:row>
    <x:row r="7" ht="45" customHeight="1">
      <x:c r="A7" s="48" t="str">
        <x:v>ME-03</x:v>
      </x:c>
      <x:c r="B7" s="48" t="str">
        <x:v>Mechanical</x:v>
      </x:c>
      <x:c r="C7" s="48" t="str">
        <x:v>High</x:v>
      </x:c>
      <x:c r="D7" s="48" t="str">
        <x:v>Base outside diameter and height</x:v>
      </x:c>
      <x:c r="E7" s="52" t="str">
        <x:v>Round printed base pictured.</x:v>
      </x:c>
      <x:c r="F7" s="50" t="str"/>
      <x:c r="G7" s="48" t="str">
        <x:v>mm</x:v>
      </x:c>
      <x:c r="H7" s="48" t="str">
        <x:v>Needed</x:v>
      </x:c>
      <x:c r="I7" s="48" t="str">
        <x:v>Include base lower flange if applicable.</x:v>
      </x:c>
    </x:row>
    <x:row r="8" ht="45" customHeight="1">
      <x:c r="A8" s="48" t="str">
        <x:v>ME-04</x:v>
      </x:c>
      <x:c r="B8" s="48" t="str">
        <x:v>Mechanical</x:v>
      </x:c>
      <x:c r="C8" s="48" t="str">
        <x:v>High</x:v>
      </x:c>
      <x:c r="D8" s="48" t="str">
        <x:v>Shoulder-to-elbow joint center distance</x:v>
      </x:c>
      <x:c r="E8" s="52" t="str">
        <x:v>Two-link arrangement visible.</x:v>
      </x:c>
      <x:c r="F8" s="50" t="str"/>
      <x:c r="G8" s="48" t="str">
        <x:v>mm</x:v>
      </x:c>
      <x:c r="H8" s="48" t="str">
        <x:v>Needed</x:v>
      </x:c>
      <x:c r="I8" s="48" t="str">
        <x:v>Measure center-to-center, not part length.</x:v>
      </x:c>
    </x:row>
    <x:row r="9" ht="45" customHeight="1">
      <x:c r="A9" s="48" t="str">
        <x:v>ME-05</x:v>
      </x:c>
      <x:c r="B9" s="48" t="str">
        <x:v>Mechanical</x:v>
      </x:c>
      <x:c r="C9" s="48" t="str">
        <x:v>High</x:v>
      </x:c>
      <x:c r="D9" s="48" t="str">
        <x:v>Elbow-to-gripper joint center distance</x:v>
      </x:c>
      <x:c r="E9" s="52" t="str">
        <x:v>Forearm/link printed.</x:v>
      </x:c>
      <x:c r="F9" s="50" t="str"/>
      <x:c r="G9" s="48" t="str">
        <x:v>mm</x:v>
      </x:c>
      <x:c r="H9" s="48" t="str">
        <x:v>Needed</x:v>
      </x:c>
      <x:c r="I9" s="48" t="str">
        <x:v>Use servo rotational axes as references.</x:v>
      </x:c>
    </x:row>
    <x:row r="10" ht="45" customHeight="1">
      <x:c r="A10" s="48" t="str">
        <x:v>ME-06</x:v>
      </x:c>
      <x:c r="B10" s="48" t="str">
        <x:v>Mechanical</x:v>
      </x:c>
      <x:c r="C10" s="48" t="str">
        <x:v>Medium</x:v>
      </x:c>
      <x:c r="D10" s="48" t="str">
        <x:v>Maximum horizontal reach from base axis</x:v>
      </x:c>
      <x:c r="E10" s="52" t="str">
        <x:v>Not measured.</x:v>
      </x:c>
      <x:c r="F10" s="50" t="str"/>
      <x:c r="G10" s="48" t="str">
        <x:v>mm</x:v>
      </x:c>
      <x:c r="H10" s="48" t="str">
        <x:v>Needed</x:v>
      </x:c>
      <x:c r="I10" s="48" t="str">
        <x:v>Describe exact reference pose.</x:v>
      </x:c>
    </x:row>
    <x:row r="11" ht="45" customHeight="1">
      <x:c r="A11" s="48" t="str">
        <x:v>ME-07</x:v>
      </x:c>
      <x:c r="B11" s="48" t="str">
        <x:v>Mechanical</x:v>
      </x:c>
      <x:c r="C11" s="48" t="str">
        <x:v>Medium</x:v>
      </x:c>
      <x:c r="D11" s="48" t="str">
        <x:v>Total assembled robot mass (without controller)</x:v>
      </x:c>
      <x:c r="E11" s="52" t="str">
        <x:v>Not measured.</x:v>
      </x:c>
      <x:c r="F11" s="50" t="str"/>
      <x:c r="G11" s="48" t="str">
        <x:v>g</x:v>
      </x:c>
      <x:c r="H11" s="48" t="str">
        <x:v>Needed</x:v>
      </x:c>
      <x:c r="I11" s="48" t="str">
        <x:v>State whether wires and servos included.</x:v>
      </x:c>
    </x:row>
    <x:row r="12" ht="45" customHeight="1">
      <x:c r="A12" s="48" t="str">
        <x:v>ME-08</x:v>
      </x:c>
      <x:c r="B12" s="48" t="str">
        <x:v>Mechanical</x:v>
      </x:c>
      <x:c r="C12" s="48" t="str">
        <x:v>Medium</x:v>
      </x:c>
      <x:c r="D12" s="48" t="str">
        <x:v>Gripper opening range</x:v>
      </x:c>
      <x:c r="E12" s="52" t="str">
        <x:v>Gear-driven gripper visible.</x:v>
      </x:c>
      <x:c r="F12" s="50" t="str"/>
      <x:c r="G12" s="48" t="str">
        <x:v>mm</x:v>
      </x:c>
      <x:c r="H12" s="48" t="str">
        <x:v>Needed</x:v>
      </x:c>
      <x:c r="I12" s="48" t="str">
        <x:v>Measure jaw-tip gap min and max.</x:v>
      </x:c>
    </x:row>
    <x:row r="13" ht="45" customHeight="1">
      <x:c r="A13" s="48" t="str">
        <x:v>ME-09</x:v>
      </x:c>
      <x:c r="B13" s="48" t="str">
        <x:v>Mechanical</x:v>
      </x:c>
      <x:c r="C13" s="48" t="str">
        <x:v>Medium</x:v>
      </x:c>
      <x:c r="D13" s="48" t="str">
        <x:v>Gripper gear tooth count / ratio</x:v>
      </x:c>
      <x:c r="E13" s="52" t="str">
        <x:v>External gear visible in photos.</x:v>
      </x:c>
      <x:c r="F13" s="50" t="str"/>
      <x:c r="G13" s="48" t="str">
        <x:v>teeth / ratio</x:v>
      </x:c>
      <x:c r="H13" s="48" t="str">
        <x:v>Needed</x:v>
      </x:c>
      <x:c r="I13" s="48" t="str">
        <x:v>Add left/right gear counts and module if known.</x:v>
      </x:c>
    </x:row>
    <x:row r="14" ht="45" customHeight="1">
      <x:c r="A14" s="48" t="str">
        <x:v>ME-10</x:v>
      </x:c>
      <x:c r="B14" s="48" t="str">
        <x:v>Mechanical</x:v>
      </x:c>
      <x:c r="C14" s="48" t="str">
        <x:v>Medium</x:v>
      </x:c>
      <x:c r="D14" s="48" t="str">
        <x:v>Fastener dimensions and quantities</x:v>
      </x:c>
      <x:c r="E14" s="52" t="str">
        <x:v>Printed brackets and spacers.</x:v>
      </x:c>
      <x:c r="F14" s="50" t="str"/>
      <x:c r="G14" s="48" t="str">
        <x:v>M size / qty</x:v>
      </x:c>
      <x:c r="H14" s="48" t="str">
        <x:v>Needed</x:v>
      </x:c>
      <x:c r="I14" s="48" t="str">
        <x:v>Distinguish machine screws from printed inserts.</x:v>
      </x:c>
    </x:row>
    <x:row r="15" ht="45" customHeight="1">
      <x:c r="A15" s="48" t="str">
        <x:v>ME-11</x:v>
      </x:c>
      <x:c r="B15" s="48" t="str">
        <x:v>Mechanical</x:v>
      </x:c>
      <x:c r="C15" s="48" t="str">
        <x:v>Medium</x:v>
      </x:c>
      <x:c r="D15" s="48" t="str">
        <x:v>Printed part count and assembly revision</x:v>
      </x:c>
      <x:c r="E15" s="52" t="str">
        <x:v>Native SolidWorks models still needed.</x:v>
      </x:c>
      <x:c r="F15" s="50" t="str"/>
      <x:c r="G15" s="48" t="str">
        <x:v>count / rev</x:v>
      </x:c>
      <x:c r="H15" s="48" t="str">
        <x:v>Needed</x:v>
      </x:c>
      <x:c r="I15" s="48" t="str">
        <x:v>List base, shoulder, plates, spacers, gripper, controller parts.</x:v>
      </x:c>
    </x:row>
    <x:row r="16" ht="45" customHeight="1">
      <x:c r="A16" s="48" t="str">
        <x:v>ME-12</x:v>
      </x:c>
      <x:c r="B16" s="48" t="str">
        <x:v>Mechanical</x:v>
      </x:c>
      <x:c r="C16" s="48" t="str">
        <x:v>Low</x:v>
      </x:c>
      <x:c r="D16" s="48" t="str">
        <x:v>Measured center of gravity / stability notes</x:v>
      </x:c>
      <x:c r="E16" s="52" t="str">
        <x:v>Startup stability investigated.</x:v>
      </x:c>
      <x:c r="F16" s="50" t="str"/>
      <x:c r="G16" s="48" t="str">
        <x:v>mm / notes</x:v>
      </x:c>
      <x:c r="H16" s="48" t="str">
        <x:v>Needed</x:v>
      </x:c>
      <x:c r="I16" s="48" t="str">
        <x:v>Only if evaluated experimentally.</x:v>
      </x:c>
    </x:row>
    <x:row r="17" ht="45" customHeight="1">
      <x:c r="A17" s="48" t="str">
        <x:v>EL-01</x:v>
      </x:c>
      <x:c r="B17" s="48" t="str">
        <x:v>Electronics</x:v>
      </x:c>
      <x:c r="C17" s="48" t="str">
        <x:v>High</x:v>
      </x:c>
      <x:c r="D17" s="48" t="str">
        <x:v>Exact microcontroller board</x:v>
      </x:c>
      <x:c r="E17" s="52" t="str">
        <x:v>Arduino/C++ source uses A0–A3 and I2C.</x:v>
      </x:c>
      <x:c r="F17" s="50" t="str"/>
      <x:c r="G17" s="48" t="str">
        <x:v>model</x:v>
      </x:c>
      <x:c r="H17" s="48" t="str">
        <x:v>Needed</x:v>
      </x:c>
      <x:c r="I17" s="48" t="str">
        <x:v>UNO/Nano/Mega/etc.; check markings.</x:v>
      </x:c>
    </x:row>
    <x:row r="18" ht="45" customHeight="1">
      <x:c r="A18" s="48" t="str">
        <x:v>EL-02</x:v>
      </x:c>
      <x:c r="B18" s="48" t="str">
        <x:v>Electronics</x:v>
      </x:c>
      <x:c r="C18" s="48" t="str">
        <x:v>High</x:v>
      </x:c>
      <x:c r="D18" s="48" t="str">
        <x:v>Servo model at base</x:v>
      </x:c>
      <x:c r="E18" s="52" t="str">
        <x:v>Code defines a 270° base servo on PCA9685 channel 1.</x:v>
      </x:c>
      <x:c r="F18" s="50" t="str"/>
      <x:c r="G18" s="48" t="str">
        <x:v>part no.</x:v>
      </x:c>
      <x:c r="H18" s="48" t="str">
        <x:v>Needed</x:v>
      </x:c>
      <x:c r="I18" s="48" t="str">
        <x:v>Check servo label and voltage/torque datasheet.</x:v>
      </x:c>
    </x:row>
    <x:row r="19" ht="45" customHeight="1">
      <x:c r="A19" s="48" t="str">
        <x:v>EL-03</x:v>
      </x:c>
      <x:c r="B19" s="48" t="str">
        <x:v>Electronics</x:v>
      </x:c>
      <x:c r="C19" s="48" t="str">
        <x:v>High</x:v>
      </x:c>
      <x:c r="D19" s="48" t="str">
        <x:v>Servo model at shoulder</x:v>
      </x:c>
      <x:c r="E19" s="52" t="str">
        <x:v>Code defines a 180° shoulder servo on channel 0.</x:v>
      </x:c>
      <x:c r="F19" s="50" t="str"/>
      <x:c r="G19" s="48" t="str">
        <x:v>part no.</x:v>
      </x:c>
      <x:c r="H19" s="48" t="str">
        <x:v>Needed</x:v>
      </x:c>
      <x:c r="I19" s="48" t="str">
        <x:v>Check servo label.</x:v>
      </x:c>
    </x:row>
    <x:row r="20" ht="45" customHeight="1">
      <x:c r="A20" s="48" t="str">
        <x:v>EL-04</x:v>
      </x:c>
      <x:c r="B20" s="48" t="str">
        <x:v>Electronics</x:v>
      </x:c>
      <x:c r="C20" s="48" t="str">
        <x:v>High</x:v>
      </x:c>
      <x:c r="D20" s="48" t="str">
        <x:v>Servo model at elbow</x:v>
      </x:c>
      <x:c r="E20" s="52" t="str">
        <x:v>Code defines a 180° elbow servo on channel 2.</x:v>
      </x:c>
      <x:c r="F20" s="50" t="str"/>
      <x:c r="G20" s="48" t="str">
        <x:v>part no.</x:v>
      </x:c>
      <x:c r="H20" s="48" t="str">
        <x:v>Needed</x:v>
      </x:c>
      <x:c r="I20" s="48" t="str">
        <x:v>Check servo label.</x:v>
      </x:c>
    </x:row>
    <x:row r="21" ht="45" customHeight="1">
      <x:c r="A21" s="48" t="str">
        <x:v>EL-05</x:v>
      </x:c>
      <x:c r="B21" s="48" t="str">
        <x:v>Electronics</x:v>
      </x:c>
      <x:c r="C21" s="48" t="str">
        <x:v>High</x:v>
      </x:c>
      <x:c r="D21" s="48" t="str">
        <x:v>Servo model at gripper</x:v>
      </x:c>
      <x:c r="E21" s="52" t="str">
        <x:v>Code defines a small 180° servo on channel 3.</x:v>
      </x:c>
      <x:c r="F21" s="50" t="str"/>
      <x:c r="G21" s="48" t="str">
        <x:v>part no.</x:v>
      </x:c>
      <x:c r="H21" s="48" t="str">
        <x:v>Needed</x:v>
      </x:c>
      <x:c r="I21" s="48" t="str">
        <x:v>Check servo label.</x:v>
      </x:c>
    </x:row>
    <x:row r="22" ht="45" customHeight="1">
      <x:c r="A22" s="48" t="str">
        <x:v>EL-06</x:v>
      </x:c>
      <x:c r="B22" s="48" t="str">
        <x:v>Electronics</x:v>
      </x:c>
      <x:c r="C22" s="48" t="str">
        <x:v>High</x:v>
      </x:c>
      <x:c r="D22" s="48" t="str">
        <x:v>Servo power supply voltage / current rating</x:v>
      </x:c>
      <x:c r="E22" s="52" t="str">
        <x:v>Power design not established by source code.</x:v>
      </x:c>
      <x:c r="F22" s="50" t="str"/>
      <x:c r="G22" s="48" t="str">
        <x:v>V / A</x:v>
      </x:c>
      <x:c r="H22" s="48" t="str">
        <x:v>Needed</x:v>
      </x:c>
      <x:c r="I22" s="48" t="str">
        <x:v>Specify source supply and actual load routing.</x:v>
      </x:c>
    </x:row>
    <x:row r="23" ht="45" customHeight="1">
      <x:c r="A23" s="48" t="str">
        <x:v>EL-07</x:v>
      </x:c>
      <x:c r="B23" s="48" t="str">
        <x:v>Electronics</x:v>
      </x:c>
      <x:c r="C23" s="48" t="str">
        <x:v>High</x:v>
      </x:c>
      <x:c r="D23" s="48" t="str">
        <x:v>Controller power connection / USB role</x:v>
      </x:c>
      <x:c r="E23" s="52" t="str">
        <x:v>USB connection appears in photos.</x:v>
      </x:c>
      <x:c r="F23" s="50" t="str"/>
      <x:c r="G23" s="48" t="str">
        <x:v>notes</x:v>
      </x:c>
      <x:c r="H23" s="48" t="str">
        <x:v>Needed</x:v>
      </x:c>
      <x:c r="I23" s="48" t="str">
        <x:v>How is MCU powered? How are servo V+ and GND handled?</x:v>
      </x:c>
    </x:row>
    <x:row r="24" ht="45" customHeight="1">
      <x:c r="A24" s="48" t="str">
        <x:v>EL-08</x:v>
      </x:c>
      <x:c r="B24" s="48" t="str">
        <x:v>Electronics</x:v>
      </x:c>
      <x:c r="C24" s="48" t="str">
        <x:v>High</x:v>
      </x:c>
      <x:c r="D24" s="48" t="str">
        <x:v>PCA9685 driver board specification / VCC and V+</x:v>
      </x:c>
      <x:c r="E24" s="52" t="str">
        <x:v>Adafruit_PWMServoDriver is included in sketch.</x:v>
      </x:c>
      <x:c r="F24" s="50" t="str"/>
      <x:c r="G24" s="48" t="str">
        <x:v>model / V</x:v>
      </x:c>
      <x:c r="H24" s="48" t="str">
        <x:v>Needed</x:v>
      </x:c>
      <x:c r="I24" s="48" t="str">
        <x:v>Photograph terminal and markings.</x:v>
      </x:c>
    </x:row>
    <x:row r="25" ht="45" customHeight="1">
      <x:c r="A25" s="48" t="str">
        <x:v>EL-09</x:v>
      </x:c>
      <x:c r="B25" s="48" t="str">
        <x:v>Electronics</x:v>
      </x:c>
      <x:c r="C25" s="48" t="str">
        <x:v>Medium</x:v>
      </x:c>
      <x:c r="D25" s="48" t="str">
        <x:v>Servo wires and connector arrangement</x:v>
      </x:c>
      <x:c r="E25" s="52" t="str">
        <x:v>External cabling visible in photos.</x:v>
      </x:c>
      <x:c r="F25" s="50" t="str"/>
      <x:c r="G25" s="48" t="str">
        <x:v>notes</x:v>
      </x:c>
      <x:c r="H25" s="48" t="str">
        <x:v>Needed</x:v>
      </x:c>
      <x:c r="I25" s="48" t="str">
        <x:v>Provide a clear controller-box interior photo.</x:v>
      </x:c>
    </x:row>
    <x:row r="26" ht="45" customHeight="1">
      <x:c r="A26" s="48" t="str">
        <x:v>EL-10</x:v>
      </x:c>
      <x:c r="B26" s="48" t="str">
        <x:v>Electronics</x:v>
      </x:c>
      <x:c r="C26" s="48" t="str">
        <x:v>Medium</x:v>
      </x:c>
      <x:c r="D26" s="48" t="str">
        <x:v>Actual joystick module models / mounting</x:v>
      </x:c>
      <x:c r="E26" s="52" t="str">
        <x:v>Two joysticks shown on enclosure.</x:v>
      </x:c>
      <x:c r="F26" s="50" t="str"/>
      <x:c r="G26" s="48" t="str">
        <x:v>part no.</x:v>
      </x:c>
      <x:c r="H26" s="48" t="str">
        <x:v>Needed</x:v>
      </x:c>
      <x:c r="I26" s="48" t="str">
        <x:v>Confirm which is physical left vs right.</x:v>
      </x:c>
    </x:row>
    <x:row r="27" ht="45" customHeight="1">
      <x:c r="A27" s="48" t="str">
        <x:v>EL-11</x:v>
      </x:c>
      <x:c r="B27" s="48" t="str">
        <x:v>Electronics</x:v>
      </x:c>
      <x:c r="C27" s="48" t="str">
        <x:v>Medium</x:v>
      </x:c>
      <x:c r="D27" s="48" t="str">
        <x:v>Any fuse / protection / switch</x:v>
      </x:c>
      <x:c r="E27" s="52" t="str">
        <x:v>Not apparent.</x:v>
      </x:c>
      <x:c r="F27" s="50" t="str"/>
      <x:c r="G27" s="48" t="str">
        <x:v>notes</x:v>
      </x:c>
      <x:c r="H27" s="48" t="str">
        <x:v>Needed</x:v>
      </x:c>
      <x:c r="I27" s="48" t="str">
        <x:v>Do not assume protections are installed.</x:v>
      </x:c>
    </x:row>
    <x:row r="28" ht="45" customHeight="1">
      <x:c r="A28" s="48" t="str">
        <x:v>SW-01</x:v>
      </x:c>
      <x:c r="B28" s="48" t="str">
        <x:v>Firmware</x:v>
      </x:c>
      <x:c r="C28" s="48" t="str">
        <x:v>High</x:v>
      </x:c>
      <x:c r="D28" s="48" t="str">
        <x:v>Confirm latest .ino file is installed</x:v>
      </x:c>
      <x:c r="E28" s="52" t="str">
        <x:v>Uploaded Robotic_Arm_Porject_2.ino reviewed.</x:v>
      </x:c>
      <x:c r="F28" s="50" t="str"/>
      <x:c r="G28" s="48" t="str">
        <x:v>Yes / No</x:v>
      </x:c>
      <x:c r="H28" s="48" t="str">
        <x:v>Needed</x:v>
      </x:c>
      <x:c r="I28" s="48" t="str">
        <x:v>Was this exact version flashed to the robot?</x:v>
      </x:c>
    </x:row>
    <x:row r="29" ht="45" customHeight="1">
      <x:c r="A29" s="48" t="str">
        <x:v>SW-02</x:v>
      </x:c>
      <x:c r="B29" s="48" t="str">
        <x:v>Firmware</x:v>
      </x:c>
      <x:c r="C29" s="48" t="str">
        <x:v>High</x:v>
      </x:c>
      <x:c r="D29" s="48" t="str">
        <x:v>Confirm physical joystick direction mapping</x:v>
      </x:c>
      <x:c r="E29" s="52" t="str">
        <x:v>Sketch maps A0→shoulder, A1→base, A2→gripper, A3→elbow.</x:v>
      </x:c>
      <x:c r="F29" s="50" t="str"/>
      <x:c r="G29" s="48" t="str">
        <x:v>notes</x:v>
      </x:c>
      <x:c r="H29" s="48" t="str">
        <x:v>Needed</x:v>
      </x:c>
      <x:c r="I29" s="48" t="str">
        <x:v>Verify right/left joystick physical positions and signs.</x:v>
      </x:c>
    </x:row>
    <x:row r="30" ht="45" customHeight="1">
      <x:c r="A30" s="48" t="str">
        <x:v>SW-03</x:v>
      </x:c>
      <x:c r="B30" s="48" t="str">
        <x:v>Firmware</x:v>
      </x:c>
      <x:c r="C30" s="48" t="str">
        <x:v>High</x:v>
      </x:c>
      <x:c r="D30" s="48" t="str">
        <x:v>Confirm power-on movement and current issues</x:v>
      </x:c>
      <x:c r="E30" s="52" t="str">
        <x:v>slowMove calls pass identical start/target values.</x:v>
      </x:c>
      <x:c r="F30" s="50" t="str"/>
      <x:c r="G30" s="48" t="str">
        <x:v>notes</x:v>
      </x:c>
      <x:c r="H30" s="48" t="str">
        <x:v>Needed</x:v>
      </x:c>
      <x:c r="I30" s="48" t="str">
        <x:v>A function exists but cannot ramp in current setup.</x:v>
      </x:c>
    </x:row>
    <x:row r="31" ht="45" customHeight="1">
      <x:c r="A31" s="48" t="str">
        <x:v>SW-04</x:v>
      </x:c>
      <x:c r="B31" s="48" t="str">
        <x:v>Firmware</x:v>
      </x:c>
      <x:c r="C31" s="48" t="str">
        <x:v>High</x:v>
      </x:c>
      <x:c r="D31" s="48" t="str">
        <x:v>Confirm SERVOMIN/MAX safe for actual servo models</x:v>
      </x:c>
      <x:c r="E31" s="52" t="str">
        <x:v>100–650 PCA9685 counts at 50 Hz in source.</x:v>
      </x:c>
      <x:c r="F31" s="50" t="str"/>
      <x:c r="G31" s="48" t="str">
        <x:v>µs / test</x:v>
      </x:c>
      <x:c r="H31" s="48" t="str">
        <x:v>Needed</x:v>
      </x:c>
      <x:c r="I31" s="48" t="str">
        <x:v>Approx. 488–3174 µs; may be unsafe on some servos.</x:v>
      </x:c>
    </x:row>
    <x:row r="32" ht="45" customHeight="1">
      <x:c r="A32" s="48" t="str">
        <x:v>SW-05</x:v>
      </x:c>
      <x:c r="B32" s="48" t="str">
        <x:v>Firmware</x:v>
      </x:c>
      <x:c r="C32" s="48" t="str">
        <x:v>Medium</x:v>
      </x:c>
      <x:c r="D32" s="48" t="str">
        <x:v>Arduino board / Adafruit library version</x:v>
      </x:c>
      <x:c r="E32" s="52" t="str">
        <x:v>Uses Wire and Adafruit_PWMServoDriver.</x:v>
      </x:c>
      <x:c r="F32" s="50" t="str"/>
      <x:c r="G32" s="48" t="str">
        <x:v>versions</x:v>
      </x:c>
      <x:c r="H32" s="48" t="str">
        <x:v>Needed</x:v>
      </x:c>
      <x:c r="I32" s="48" t="str">
        <x:v>Needed for reproducibility.</x:v>
      </x:c>
    </x:row>
    <x:row r="33" ht="45" customHeight="1">
      <x:c r="A33" s="48" t="str">
        <x:v>SW-06</x:v>
      </x:c>
      <x:c r="B33" s="48" t="str">
        <x:v>Firmware</x:v>
      </x:c>
      <x:c r="C33" s="48" t="str">
        <x:v>Medium</x:v>
      </x:c>
      <x:c r="D33" s="48" t="str">
        <x:v>Demonstrated joystick neutral response</x:v>
      </x:c>
      <x:c r="E33" s="52" t="str">
        <x:v>Deadzone: 70 for arm joints; 50 gripper.</x:v>
      </x:c>
      <x:c r="F33" s="50" t="str"/>
      <x:c r="G33" s="48" t="str">
        <x:v>video / notes</x:v>
      </x:c>
      <x:c r="H33" s="48" t="str">
        <x:v>Needed</x:v>
      </x:c>
      <x:c r="I33" s="48" t="str">
        <x:v>Observe drift for 30 seconds after power-on.</x:v>
      </x:c>
    </x:row>
    <x:row r="34" ht="45" customHeight="1">
      <x:c r="A34" s="48" t="str">
        <x:v>PR-01</x:v>
      </x:c>
      <x:c r="B34" s="48" t="str">
        <x:v>Printing</x:v>
      </x:c>
      <x:c r="C34" s="48" t="str">
        <x:v>High</x:v>
      </x:c>
      <x:c r="D34" s="48" t="str">
        <x:v>Filament type and brand</x:v>
      </x:c>
      <x:c r="E34" s="52" t="str">
        <x:v>Bambu Lab P1S confirmed.</x:v>
      </x:c>
      <x:c r="F34" s="50" t="str"/>
      <x:c r="G34" s="48" t="str">
        <x:v>PLA/PETG/etc.</x:v>
      </x:c>
      <x:c r="H34" s="48" t="str">
        <x:v>Needed</x:v>
      </x:c>
      <x:c r="I34" s="48" t="str">
        <x:v>Material affects strength and heat resistance.</x:v>
      </x:c>
    </x:row>
    <x:row r="35" ht="45" customHeight="1">
      <x:c r="A35" s="48" t="str">
        <x:v>PR-02</x:v>
      </x:c>
      <x:c r="B35" s="48" t="str">
        <x:v>Printing</x:v>
      </x:c>
      <x:c r="C35" s="48" t="str">
        <x:v>High</x:v>
      </x:c>
      <x:c r="D35" s="48" t="str">
        <x:v>Nozzle size and layer height</x:v>
      </x:c>
      <x:c r="E35" s="52" t="str">
        <x:v>Print profile not uploaded.</x:v>
      </x:c>
      <x:c r="F35" s="50" t="str"/>
      <x:c r="G35" s="48" t="str">
        <x:v>mm</x:v>
      </x:c>
      <x:c r="H35" s="48" t="str">
        <x:v>Needed</x:v>
      </x:c>
      <x:c r="I35" s="48" t="str">
        <x:v>Record slicer project actual values.</x:v>
      </x:c>
    </x:row>
    <x:row r="36" ht="45" customHeight="1">
      <x:c r="A36" s="48" t="str">
        <x:v>PR-03</x:v>
      </x:c>
      <x:c r="B36" s="48" t="str">
        <x:v>Printing</x:v>
      </x:c>
      <x:c r="C36" s="48" t="str">
        <x:v>High</x:v>
      </x:c>
      <x:c r="D36" s="48" t="str">
        <x:v>Wall loops/perimeters and infill settings</x:v>
      </x:c>
      <x:c r="E36" s="52" t="str">
        <x:v>Print profile not uploaded.</x:v>
      </x:c>
      <x:c r="F36" s="50" t="str"/>
      <x:c r="G36" s="48" t="str">
        <x:v>count / %</x:v>
      </x:c>
      <x:c r="H36" s="48" t="str">
        <x:v>Needed</x:v>
      </x:c>
      <x:c r="I36" s="48" t="str">
        <x:v>Record critical structural parts separately if different.</x:v>
      </x:c>
    </x:row>
    <x:row r="37" ht="45" customHeight="1">
      <x:c r="A37" s="48" t="str">
        <x:v>PR-04</x:v>
      </x:c>
      <x:c r="B37" s="48" t="str">
        <x:v>Printing</x:v>
      </x:c>
      <x:c r="C37" s="48" t="str">
        <x:v>Medium</x:v>
      </x:c>
      <x:c r="D37" s="48" t="str">
        <x:v>Support settings by part</x:v>
      </x:c>
      <x:c r="E37" s="52" t="str">
        <x:v>Print orientation was reviewed in design process.</x:v>
      </x:c>
      <x:c r="F37" s="50" t="str"/>
      <x:c r="G37" s="48" t="str">
        <x:v>notes</x:v>
      </x:c>
      <x:c r="H37" s="48" t="str">
        <x:v>Needed</x:v>
      </x:c>
      <x:c r="I37" s="48" t="str">
        <x:v>On/off, type, interface, overhang thresholds.</x:v>
      </x:c>
    </x:row>
    <x:row r="38" ht="45" customHeight="1">
      <x:c r="A38" s="48" t="str">
        <x:v>PR-05</x:v>
      </x:c>
      <x:c r="B38" s="48" t="str">
        <x:v>Printing</x:v>
      </x:c>
      <x:c r="C38" s="48" t="str">
        <x:v>Medium</x:v>
      </x:c>
      <x:c r="D38" s="48" t="str">
        <x:v>Total print time and material consumption</x:v>
      </x:c>
      <x:c r="E38" s="52" t="str">
        <x:v>Not available.</x:v>
      </x:c>
      <x:c r="F38" s="50" t="str"/>
      <x:c r="G38" s="48" t="str">
        <x:v>hours / g</x:v>
      </x:c>
      <x:c r="H38" s="48" t="str">
        <x:v>Needed</x:v>
      </x:c>
      <x:c r="I38" s="48" t="str">
        <x:v>Can estimate from slicer if original records absent; label estimate.</x:v>
      </x:c>
    </x:row>
    <x:row r="39" ht="45" customHeight="1">
      <x:c r="A39" s="48" t="str">
        <x:v>PR-06</x:v>
      </x:c>
      <x:c r="B39" s="48" t="str">
        <x:v>Printing</x:v>
      </x:c>
      <x:c r="C39" s="48" t="str">
        <x:v>Medium</x:v>
      </x:c>
      <x:c r="D39" s="48" t="str">
        <x:v>Part tolerances / hole post-processing</x:v>
      </x:c>
      <x:c r="E39" s="52" t="str">
        <x:v>Shaft and hole alignment considered.</x:v>
      </x:c>
      <x:c r="F39" s="50" t="str"/>
      <x:c r="G39" s="48" t="str">
        <x:v>mm / notes</x:v>
      </x:c>
      <x:c r="H39" s="48" t="str">
        <x:v>Needed</x:v>
      </x:c>
      <x:c r="I39" s="48" t="str">
        <x:v>Report observed fit, drilled holes, inserts.</x:v>
      </x:c>
    </x:row>
    <x:row r="40" ht="45" customHeight="1">
      <x:c r="A40" s="48" t="str">
        <x:v>PR-07</x:v>
      </x:c>
      <x:c r="B40" s="48" t="str">
        <x:v>Printing</x:v>
      </x:c>
      <x:c r="C40" s="48" t="str">
        <x:v>Medium</x:v>
      </x:c>
      <x:c r="D40" s="48" t="str">
        <x:v>Major reprinted / revised components</x:v>
      </x:c>
      <x:c r="E40" s="52" t="str">
        <x:v>Gripper gear, plates, spacers, shoulder, enclosure discussed.</x:v>
      </x:c>
      <x:c r="F40" s="50" t="str"/>
      <x:c r="G40" s="48" t="str">
        <x:v>notes</x:v>
      </x:c>
      <x:c r="H40" s="48" t="str">
        <x:v>Needed</x:v>
      </x:c>
      <x:c r="I40" s="48" t="str">
        <x:v>What changed and why?</x:v>
      </x:c>
    </x:row>
    <x:row r="41" ht="45" customHeight="1">
      <x:c r="A41" s="48" t="str">
        <x:v>TS-01</x:v>
      </x:c>
      <x:c r="B41" s="48" t="str">
        <x:v>Testing</x:v>
      </x:c>
      <x:c r="C41" s="48" t="str">
        <x:v>High</x:v>
      </x:c>
      <x:c r="D41" s="48" t="str">
        <x:v>Power-on test video and startup behavior</x:v>
      </x:c>
      <x:c r="E41" s="52" t="str">
        <x:v>Original firmware startup tested qualitatively.</x:v>
      </x:c>
      <x:c r="F41" s="50" t="str"/>
      <x:c r="G41" s="48" t="str">
        <x:v>video / notes</x:v>
      </x:c>
      <x:c r="H41" s="48" t="str">
        <x:v>Needed</x:v>
      </x:c>
      <x:c r="I41" s="48" t="str">
        <x:v>Note sudden jumps vs controlled ramp.</x:v>
      </x:c>
    </x:row>
    <x:row r="42" ht="45" customHeight="1">
      <x:c r="A42" s="48" t="str">
        <x:v>TS-02</x:v>
      </x:c>
      <x:c r="B42" s="48" t="str">
        <x:v>Testing</x:v>
      </x:c>
      <x:c r="C42" s="48" t="str">
        <x:v>High</x:v>
      </x:c>
      <x:c r="D42" s="48" t="str">
        <x:v>Four motion-axis demonstrations</x:v>
      </x:c>
      <x:c r="E42" s="52" t="str">
        <x:v>Four servo output channels in code.</x:v>
      </x:c>
      <x:c r="F42" s="50" t="str"/>
      <x:c r="G42" s="48" t="str">
        <x:v>video / notes</x:v>
      </x:c>
      <x:c r="H42" s="48" t="str">
        <x:v>Needed</x:v>
      </x:c>
      <x:c r="I42" s="48" t="str">
        <x:v>Show base, shoulder, elbow, gripper moving.</x:v>
      </x:c>
    </x:row>
    <x:row r="43" ht="45" customHeight="1">
      <x:c r="A43" s="48" t="str">
        <x:v>TS-03</x:v>
      </x:c>
      <x:c r="B43" s="48" t="str">
        <x:v>Testing</x:v>
      </x:c>
      <x:c r="C43" s="48" t="str">
        <x:v>High</x:v>
      </x:c>
      <x:c r="D43" s="48" t="str">
        <x:v>Measured joint physical ranges</x:v>
      </x:c>
      <x:c r="E43" s="52" t="str">
        <x:v>Software ranges are available; physical ranges unknown.</x:v>
      </x:c>
      <x:c r="F43" s="50" t="str"/>
      <x:c r="G43" s="48" t="str">
        <x:v>degrees</x:v>
      </x:c>
      <x:c r="H43" s="48" t="str">
        <x:v>Needed</x:v>
      </x:c>
      <x:c r="I43" s="48" t="str">
        <x:v>Verify no stalls, interference, cable snags.</x:v>
      </x:c>
    </x:row>
    <x:row r="44" ht="45" customHeight="1">
      <x:c r="A44" s="48" t="str">
        <x:v>TS-04</x:v>
      </x:c>
      <x:c r="B44" s="48" t="str">
        <x:v>Testing</x:v>
      </x:c>
      <x:c r="C44" s="48" t="str">
        <x:v>Medium</x:v>
      </x:c>
      <x:c r="D44" s="48" t="str">
        <x:v>Payload test with known mass</x:v>
      </x:c>
      <x:c r="E44" s="52" t="str">
        <x:v>No result provided.</x:v>
      </x:c>
      <x:c r="F44" s="50" t="str"/>
      <x:c r="G44" s="48" t="str">
        <x:v>g</x:v>
      </x:c>
      <x:c r="H44" s="48" t="str">
        <x:v>Needed</x:v>
      </x:c>
      <x:c r="I44" s="48" t="str">
        <x:v>Do not claim a max payload without method and results.</x:v>
      </x:c>
    </x:row>
    <x:row r="45" ht="45" customHeight="1">
      <x:c r="A45" s="48" t="str">
        <x:v>TS-05</x:v>
      </x:c>
      <x:c r="B45" s="48" t="str">
        <x:v>Testing</x:v>
      </x:c>
      <x:c r="C45" s="48" t="str">
        <x:v>Medium</x:v>
      </x:c>
      <x:c r="D45" s="48" t="str">
        <x:v>Repeatability / endpoint test</x:v>
      </x:c>
      <x:c r="E45" s="52" t="str">
        <x:v>No result provided.</x:v>
      </x:c>
      <x:c r="F45" s="50" t="str"/>
      <x:c r="G45" s="48" t="str">
        <x:v>mm</x:v>
      </x:c>
      <x:c r="H45" s="48" t="str">
        <x:v>Needed</x:v>
      </x:c>
      <x:c r="I45" s="48" t="str">
        <x:v>Optional: 5–10 repeated moves, record deviation.</x:v>
      </x:c>
    </x:row>
    <x:row r="46" ht="45" customHeight="1">
      <x:c r="A46" s="48" t="str">
        <x:v>TS-06</x:v>
      </x:c>
      <x:c r="B46" s="48" t="str">
        <x:v>Testing</x:v>
      </x:c>
      <x:c r="C46" s="48" t="str">
        <x:v>Medium</x:v>
      </x:c>
      <x:c r="D46" s="48" t="str">
        <x:v>Gripper cycles without slipping</x:v>
      </x:c>
      <x:c r="E46" s="52" t="str">
        <x:v>No cycle count provided.</x:v>
      </x:c>
      <x:c r="F46" s="50" t="str"/>
      <x:c r="G46" s="48" t="str">
        <x:v>cycles</x:v>
      </x:c>
      <x:c r="H46" s="48" t="str">
        <x:v>Needed</x:v>
      </x:c>
      <x:c r="I46" s="48" t="str">
        <x:v>Record successful/failed actuations.</x:v>
      </x:c>
    </x:row>
    <x:row r="47" ht="45" customHeight="1">
      <x:c r="A47" s="48" t="str">
        <x:v>TS-07</x:v>
      </x:c>
      <x:c r="B47" s="48" t="str">
        <x:v>Testing</x:v>
      </x:c>
      <x:c r="C47" s="48" t="str">
        <x:v>Medium</x:v>
      </x:c>
      <x:c r="D47" s="48" t="str">
        <x:v>Base tilt/stability observations</x:v>
      </x:c>
      <x:c r="E47" s="52" t="str">
        <x:v>Rapid startup previously affected balance.</x:v>
      </x:c>
      <x:c r="F47" s="50" t="str"/>
      <x:c r="G47" s="48" t="str">
        <x:v>notes</x:v>
      </x:c>
      <x:c r="H47" s="48" t="str">
        <x:v>Needed</x:v>
      </x:c>
      <x:c r="I47" s="48" t="str">
        <x:v>Include pose and platform condition.</x:v>
      </x:c>
    </x:row>
    <x:row r="48" ht="45" customHeight="1">
      <x:c r="A48" s="48" t="str">
        <x:v>TS-08</x:v>
      </x:c>
      <x:c r="B48" s="48" t="str">
        <x:v>Testing</x:v>
      </x:c>
      <x:c r="C48" s="48" t="str">
        <x:v>Low</x:v>
      </x:c>
      <x:c r="D48" s="48" t="str">
        <x:v>Current draw during multiple servos moving</x:v>
      </x:c>
      <x:c r="E48" s="52" t="str">
        <x:v>Not measured.</x:v>
      </x:c>
      <x:c r="F48" s="50" t="str"/>
      <x:c r="G48" s="48" t="str">
        <x:v>A</x:v>
      </x:c>
      <x:c r="H48" s="48" t="str">
        <x:v>Needed</x:v>
      </x:c>
      <x:c r="I48" s="48" t="str">
        <x:v>Optional with meter and safe method.</x:v>
      </x:c>
    </x:row>
    <x:row r="49" ht="45" customHeight="1">
      <x:c r="A49" s="48" t="str">
        <x:v>MD-01</x:v>
      </x:c>
      <x:c r="B49" s="48" t="str">
        <x:v>Media</x:v>
      </x:c>
      <x:c r="C49" s="48" t="str">
        <x:v>High</x:v>
      </x:c>
      <x:c r="D49" s="48" t="str">
        <x:v>Native SolidWorks .SLDASM and referenced .SLDPRT</x:v>
      </x:c>
      <x:c r="E49" s="52" t="str">
        <x:v>Not uploaded.</x:v>
      </x:c>
      <x:c r="F49" s="50" t="str"/>
      <x:c r="G49" s="48" t="str">
        <x:v>files</x:v>
      </x:c>
      <x:c r="H49" s="48" t="str">
        <x:v>Needed</x:v>
      </x:c>
      <x:c r="I49" s="48" t="str">
        <x:v>Pack and Go recommended.</x:v>
      </x:c>
    </x:row>
    <x:row r="50" ht="45" customHeight="1">
      <x:c r="A50" s="48" t="str">
        <x:v>MD-02</x:v>
      </x:c>
      <x:c r="B50" s="48" t="str">
        <x:v>Media</x:v>
      </x:c>
      <x:c r="C50" s="48" t="str">
        <x:v>High</x:v>
      </x:c>
      <x:c r="D50" s="48" t="str">
        <x:v>STL exports for manufactured parts</x:v>
      </x:c>
      <x:c r="E50" s="52" t="str">
        <x:v>Not uploaded.</x:v>
      </x:c>
      <x:c r="F50" s="50" t="str"/>
      <x:c r="G50" s="48" t="str">
        <x:v>files</x:v>
      </x:c>
      <x:c r="H50" s="48" t="str">
        <x:v>Needed</x:v>
      </x:c>
      <x:c r="I50" s="48" t="str">
        <x:v>Include final print-ready versions.</x:v>
      </x:c>
    </x:row>
    <x:row r="51" ht="45" customHeight="1">
      <x:c r="A51" s="48" t="str">
        <x:v>MD-03</x:v>
      </x:c>
      <x:c r="B51" s="48" t="str">
        <x:v>Media</x:v>
      </x:c>
      <x:c r="C51" s="48" t="str">
        <x:v>High</x:v>
      </x:c>
      <x:c r="D51" s="48" t="str">
        <x:v>Full SolidWorks assembly screenshot</x:v>
      </x:c>
      <x:c r="E51" s="52" t="str">
        <x:v>Real photos already uploaded to GitHub.</x:v>
      </x:c>
      <x:c r="F51" s="50" t="str"/>
      <x:c r="G51" s="48" t="str">
        <x:v>image</x:v>
      </x:c>
      <x:c r="H51" s="48" t="str">
        <x:v>Needed</x:v>
      </x:c>
      <x:c r="I51" s="48" t="str">
        <x:v>Best is clean isometric render.</x:v>
      </x:c>
    </x:row>
    <x:row r="52" ht="45" customHeight="1">
      <x:c r="A52" s="48" t="str">
        <x:v>MD-04</x:v>
      </x:c>
      <x:c r="B52" s="48" t="str">
        <x:v>Media</x:v>
      </x:c>
      <x:c r="C52" s="48" t="str">
        <x:v>Medium</x:v>
      </x:c>
      <x:c r="D52" s="48" t="str">
        <x:v>Exploded view / assembly drawing</x:v>
      </x:c>
      <x:c r="E52" s="52" t="str">
        <x:v>Not uploaded.</x:v>
      </x:c>
      <x:c r="F52" s="50" t="str"/>
      <x:c r="G52" s="48" t="str">
        <x:v>image / PDF</x:v>
      </x:c>
      <x:c r="H52" s="48" t="str">
        <x:v>Needed</x:v>
      </x:c>
      <x:c r="I52" s="48" t="str">
        <x:v>Include labels of servo mounts, links, spacers.</x:v>
      </x:c>
    </x:row>
    <x:row r="53" ht="45" customHeight="1">
      <x:c r="A53" s="48" t="str">
        <x:v>MD-05</x:v>
      </x:c>
      <x:c r="B53" s="48" t="str">
        <x:v>Media</x:v>
      </x:c>
      <x:c r="C53" s="48" t="str">
        <x:v>Medium</x:v>
      </x:c>
      <x:c r="D53" s="48" t="str">
        <x:v>Close-up of gripper and electronics interior</x:v>
      </x:c>
      <x:c r="E53" s="52" t="str">
        <x:v>Current photos show the external assembly.</x:v>
      </x:c>
      <x:c r="F53" s="50" t="str"/>
      <x:c r="G53" s="48" t="str">
        <x:v>photos</x:v>
      </x:c>
      <x:c r="H53" s="48" t="str">
        <x:v>Needed</x:v>
      </x:c>
      <x:c r="I53" s="48" t="str">
        <x:v>Gripper and PCB photo improve credibility.</x:v>
      </x:c>
    </x:row>
    <x:row r="54" ht="45" customHeight="1">
      <x:c r="A54" s="48" t="str">
        <x:v>MD-06</x:v>
      </x:c>
      <x:c r="B54" s="48" t="str">
        <x:v>Media</x:v>
      </x:c>
      <x:c r="C54" s="48" t="str">
        <x:v>Medium</x:v>
      </x:c>
      <x:c r="D54" s="48" t="str">
        <x:v>Short unedited operation video</x:v>
      </x:c>
      <x:c r="E54" s="52" t="str">
        <x:v>Not uploaded.</x:v>
      </x:c>
      <x:c r="F54" s="50" t="str"/>
      <x:c r="G54" s="48" t="str">
        <x:v>URL</x:v>
      </x:c>
      <x:c r="H54" s="48" t="str">
        <x:v>Needed</x:v>
      </x:c>
      <x:c r="I54" s="48" t="str">
        <x:v>30–60 s showing 4 outputs and controller.</x:v>
      </x:c>
    </x:row>
  </x:sheetData>
  <x:mergeCells>
    <x:mergeCell ref="A1:I2"/>
    <x:mergeCell ref="A3:I3"/>
  </x:mergeCells>
  <x:conditionalFormatting sqref="H5:H54">
    <x:cfRule type="expression" dxfId="0" priority="1">
      <x:formula>$H5="Provided"</x:formula>
    </x:cfRule>
    <x:cfRule type="expression" dxfId="1" priority="2">
      <x:formula>$H5="Needed"</x:formula>
    </x:cfRule>
  </x:conditionalFormatting>
  <x:dataValidations count="1">
    <x:dataValidation type="list" sqref="H5:H54">
      <x:formula1>"Needed,Provided,Not applicable,In 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d1c532b2dd4929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28" hidden="0" customWidth="1"/>
    <x:col min="4" max="4" width="18" hidden="0" customWidth="1"/>
    <x:col min="5" max="5" width="20" hidden="0" customWidth="1"/>
    <x:col min="6" max="6" width="22" hidden="0" customWidth="1"/>
    <x:col min="7" max="7" width="20" hidden="0" customWidth="1"/>
    <x:col min="8" max="8" width="30" hidden="0" customWidth="1"/>
  </x:cols>
  <x:sheetData>
    <x:row r="1" ht="23" customHeight="1">
      <x:c r="A1" s="40" t="str">
        <x:v>FIRMWARE | VERIFIED FROM UPLOADED .INO</x:v>
      </x:c>
      <x:c r="B1" s="40"/>
      <x:c r="C1" s="40"/>
      <x:c r="D1" s="40"/>
      <x:c r="E1" s="40"/>
      <x:c r="F1" s="40"/>
      <x:c r="G1" s="40"/>
      <x:c r="H1" s="40"/>
    </x:row>
    <x:row r="2" ht="23" customHeight="1">
      <x:c r="A2" s="40"/>
      <x:c r="B2" s="40"/>
      <x:c r="C2" s="40"/>
      <x:c r="D2" s="40"/>
      <x:c r="E2" s="40"/>
      <x:c r="F2" s="40"/>
      <x:c r="G2" s="40"/>
      <x:c r="H2" s="40"/>
    </x:row>
    <x:row r="3" ht="30" customHeight="1">
      <x:c r="A3" s="10" t="str">
        <x:v>Source: Robotic_Arm_Porject_2.ino | Values below describe CODE, not verified physical behavior.</x:v>
      </x:c>
      <x:c r="B3" s="10"/>
      <x:c r="C3" s="10"/>
      <x:c r="D3" s="10"/>
      <x:c r="E3" s="10"/>
      <x:c r="F3" s="10"/>
      <x:c r="G3" s="10"/>
      <x:c r="H3" s="10"/>
    </x:row>
    <x:row r="5" ht="36" customHeight="1">
      <x:c r="A5" s="44" t="str">
        <x:v>Servo</x:v>
      </x:c>
      <x:c r="B5" s="44" t="str">
        <x:v>PWM channel</x:v>
      </x:c>
      <x:c r="C5" s="44" t="str">
        <x:v>Code nominal range</x:v>
      </x:c>
      <x:c r="D5" s="44" t="str">
        <x:v>Initial angle</x:v>
      </x:c>
      <x:c r="E5" s="44" t="str">
        <x:v>Software clamp</x:v>
      </x:c>
      <x:c r="F5" s="44" t="str">
        <x:v>Analog input</x:v>
      </x:c>
      <x:c r="G5" s="44" t="str">
        <x:v>Deadzone ADC</x:v>
      </x:c>
      <x:c r="H5" s="44" t="str">
        <x:v>Max angle increment/loop</x:v>
      </x:c>
    </x:row>
    <x:row r="6" ht="31" customHeight="1">
      <x:c r="A6" s="14" t="str">
        <x:v>Shoulder</x:v>
      </x:c>
      <x:c r="B6" s="14" t="n">
        <x:v>0</x:v>
      </x:c>
      <x:c r="C6" s="14" t="str">
        <x:v>180°</x:v>
      </x:c>
      <x:c r="D6" s="14" t="n">
        <x:v>90</x:v>
      </x:c>
      <x:c r="E6" s="14" t="str">
        <x:v>20–160°</x:v>
      </x:c>
      <x:c r="F6" s="14" t="str">
        <x:v>A0 / joy1X</x:v>
      </x:c>
      <x:c r="G6" s="14" t="n">
        <x:v>70</x:v>
      </x:c>
      <x:c r="H6" s="14" t="n">
        <x:v>2</x:v>
      </x:c>
    </x:row>
    <x:row r="7" ht="31" customHeight="1">
      <x:c r="A7" s="14" t="str">
        <x:v>Base</x:v>
      </x:c>
      <x:c r="B7" s="14" t="n">
        <x:v>1</x:v>
      </x:c>
      <x:c r="C7" s="14" t="str">
        <x:v>270°</x:v>
      </x:c>
      <x:c r="D7" s="14" t="n">
        <x:v>135</x:v>
      </x:c>
      <x:c r="E7" s="14" t="str">
        <x:v>10–260°</x:v>
      </x:c>
      <x:c r="F7" s="14" t="str">
        <x:v>A1 / joy1Y</x:v>
      </x:c>
      <x:c r="G7" s="14" t="n">
        <x:v>70</x:v>
      </x:c>
      <x:c r="H7" s="14" t="n">
        <x:v>3</x:v>
      </x:c>
    </x:row>
    <x:row r="8" ht="31" customHeight="1">
      <x:c r="A8" s="14" t="str">
        <x:v>Elbow</x:v>
      </x:c>
      <x:c r="B8" s="14" t="n">
        <x:v>2</x:v>
      </x:c>
      <x:c r="C8" s="14" t="str">
        <x:v>180°</x:v>
      </x:c>
      <x:c r="D8" s="14" t="n">
        <x:v>90</x:v>
      </x:c>
      <x:c r="E8" s="14" t="str">
        <x:v>20–160°</x:v>
      </x:c>
      <x:c r="F8" s="14" t="str">
        <x:v>A3 / joy2Y</x:v>
      </x:c>
      <x:c r="G8" s="14" t="n">
        <x:v>70</x:v>
      </x:c>
      <x:c r="H8" s="14" t="n">
        <x:v>3</x:v>
      </x:c>
    </x:row>
    <x:row r="9" ht="31" customHeight="1">
      <x:c r="A9" s="14" t="str">
        <x:v>Gripper</x:v>
      </x:c>
      <x:c r="B9" s="14" t="n">
        <x:v>3</x:v>
      </x:c>
      <x:c r="C9" s="14" t="str">
        <x:v>180°</x:v>
      </x:c>
      <x:c r="D9" s="14" t="n">
        <x:v>90</x:v>
      </x:c>
      <x:c r="E9" s="14" t="str">
        <x:v>30–120°</x:v>
      </x:c>
      <x:c r="F9" s="14" t="str">
        <x:v>A2 / joy2X</x:v>
      </x:c>
      <x:c r="G9" s="14" t="n">
        <x:v>50</x:v>
      </x:c>
      <x:c r="H9" s="14" t="n">
        <x:v>5</x:v>
      </x:c>
    </x:row>
    <x:row r="11" ht="28" customHeight="1">
      <x:c r="A11" s="43" t="str">
        <x:v>Global value</x:v>
      </x:c>
      <x:c r="B11" s="43" t="str">
        <x:v>Code value</x:v>
      </x:c>
      <x:c r="C11" s="43" t="str">
        <x:v>Important clarification</x:v>
      </x:c>
    </x:row>
    <x:row r="12" ht="35" customHeight="1">
      <x:c r="A12" s="14" t="str">
        <x:v>PCA9685 frequency</x:v>
      </x:c>
      <x:c r="B12" s="14" t="str">
        <x:v>50 Hz</x:v>
      </x:c>
      <x:c r="C12" s="14" t="str">
        <x:v>pwm.setPWMFreq(50)</x:v>
      </x:c>
    </x:row>
    <x:row r="13" ht="35" customHeight="1">
      <x:c r="A13" s="14" t="str">
        <x:v>SERVOMIN</x:v>
      </x:c>
      <x:c r="B13" s="14" t="n">
        <x:v>100</x:v>
      </x:c>
      <x:c r="C13" s="14" t="str">
        <x:v>PCA9685 counts, not microseconds</x:v>
      </x:c>
    </x:row>
    <x:row r="14" ht="35" customHeight="1">
      <x:c r="A14" s="14" t="str">
        <x:v>SERVOMAX</x:v>
      </x:c>
      <x:c r="B14" s="14" t="n">
        <x:v>650</x:v>
      </x:c>
      <x:c r="C14" s="14" t="str">
        <x:v>PCA9685 counts, not microseconds</x:v>
      </x:c>
    </x:row>
    <x:row r="15" ht="35" customHeight="1">
      <x:c r="A15" s="14" t="str">
        <x:v>Approx pulse window</x:v>
      </x:c>
      <x:c r="B15" s="14" t="str">
        <x:v>488–3174 µs</x:v>
      </x:c>
      <x:c r="C15" s="14" t="str">
        <x:v>At nominal 50 Hz; verify servo tolerance before operation</x:v>
      </x:c>
    </x:row>
    <x:row r="16" ht="35" customHeight="1">
      <x:c r="A16" s="14" t="str">
        <x:v>Joystick center</x:v>
      </x:c>
      <x:c r="B16" s="14" t="n">
        <x:v>512</x:v>
      </x:c>
      <x:c r="C16" s="14" t="str">
        <x:v>ADC midpoint</x:v>
      </x:c>
    </x:row>
    <x:row r="17" ht="35" customHeight="1">
      <x:c r="A17" s="14" t="str">
        <x:v>Loop delay</x:v>
      </x:c>
      <x:c r="B17" s="14" t="n">
        <x:v>10</x:v>
      </x:c>
      <x:c r="C17" s="14" t="str">
        <x:v>milliseconds, plus code execution/serial time</x:v>
      </x:c>
    </x:row>
    <x:row r="18" ht="35" customHeight="1">
      <x:c r="A18" s="14" t="str">
        <x:v>Serial baud</x:v>
      </x:c>
      <x:c r="B18" s="14" t="n">
        <x:v>9600</x:v>
      </x:c>
      <x:c r="C18" s="14" t="str">
        <x:v>Serial.begin(9600)</x:v>
      </x:c>
    </x:row>
    <x:row r="19" ht="35" customHeight="1">
      <x:c r="A19" s="14" t="str">
        <x:v>Startup delay before servo commands</x:v>
      </x:c>
      <x:c r="B19" s="14" t="str">
        <x:v>2500 ms</x:v>
      </x:c>
      <x:c r="C19" s="14" t="str">
        <x:v>500 + 2000 ms in setup</x:v>
      </x:c>
    </x:row>
    <x:row r="21" ht="27" customHeight="1">
      <x:c r="A21" s="55" t="str">
        <x:v>CAUTION: setup() calls slowMove with startAngle == endAngle for every servo. As written, each function sends only one position command; this does not verify gradual movement from the prior physical position.</x:v>
      </x:c>
      <x:c r="B21" s="55"/>
      <x:c r="C21" s="55"/>
      <x:c r="D21" s="55"/>
      <x:c r="E21" s="55"/>
      <x:c r="F21" s="55"/>
      <x:c r="G21" s="55"/>
      <x:c r="H21" s="55"/>
    </x:row>
    <x:row r="22" ht="27" customHeight="1">
      <x:c r="A22" s="55"/>
      <x:c r="B22" s="55"/>
      <x:c r="C22" s="55"/>
      <x:c r="D22" s="55"/>
      <x:c r="E22" s="55"/>
      <x:c r="F22" s="55"/>
      <x:c r="G22" s="55"/>
      <x:c r="H22" s="55"/>
    </x:row>
  </x:sheetData>
  <x:mergeCells>
    <x:mergeCell ref="A1:H2"/>
    <x:mergeCell ref="A3:H3"/>
    <x:mergeCell ref="A21:H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7" hidden="0" customWidth="1"/>
    <x:col min="3" max="3" width="33" hidden="0" customWidth="1"/>
    <x:col min="4" max="4" width="34" hidden="0" customWidth="1"/>
    <x:col min="5" max="5" width="15" hidden="0" customWidth="1"/>
    <x:col min="6" max="6" width="20" hidden="0" customWidth="1"/>
    <x:col min="7" max="7" width="22" hidden="0" customWidth="1"/>
    <x:col min="8" max="8" width="46" hidden="0" customWidth="1"/>
  </x:cols>
  <x:sheetData>
    <x:row r="1" ht="23" customHeight="1">
      <x:c r="A1" s="40" t="str">
        <x:v>BILL OF MATERIALS | FILL EXACT PARTS</x:v>
      </x:c>
      <x:c r="B1" s="40"/>
      <x:c r="C1" s="40"/>
      <x:c r="D1" s="40"/>
      <x:c r="E1" s="40"/>
      <x:c r="F1" s="40"/>
      <x:c r="G1" s="40"/>
      <x:c r="H1" s="40"/>
    </x:row>
    <x:row r="2" ht="23" customHeight="1">
      <x:c r="A2" s="40"/>
      <x:c r="B2" s="40"/>
      <x:c r="C2" s="40"/>
      <x:c r="D2" s="40"/>
      <x:c r="E2" s="40"/>
      <x:c r="F2" s="40"/>
      <x:c r="G2" s="40"/>
      <x:c r="H2" s="40"/>
    </x:row>
    <x:row r="4" ht="30" customHeight="1">
      <x:c r="A4" s="44" t="str">
        <x:v>ID</x:v>
      </x:c>
      <x:c r="B4" s="44" t="str">
        <x:v>Part / assembly</x:v>
      </x:c>
      <x:c r="C4" s="44" t="str">
        <x:v>Known identification</x:v>
      </x:c>
      <x:c r="D4" s="44" t="str">
        <x:v>Exact manufacturer/model</x:v>
      </x:c>
      <x:c r="E4" s="44" t="str">
        <x:v>Quantity</x:v>
      </x:c>
      <x:c r="F4" s="44" t="str">
        <x:v>Unit price USD</x:v>
      </x:c>
      <x:c r="G4" s="44" t="str">
        <x:v>Subtotal USD</x:v>
      </x:c>
      <x:c r="H4" s="44" t="str">
        <x:v>Notes / evidence</x:v>
      </x:c>
    </x:row>
    <x:row r="5" ht="33" customHeight="1">
      <x:c r="A5" s="14" t="str">
        <x:v>MCU</x:v>
      </x:c>
      <x:c r="B5" s="14" t="str">
        <x:v>Arduino-compatible microcontroller</x:v>
      </x:c>
      <x:c r="C5" s="14" t="str"/>
      <x:c r="D5" s="58" t="str"/>
      <x:c r="E5" s="58" t="n">
        <x:v>1</x:v>
      </x:c>
      <x:c r="F5" s="60" t="str"/>
      <x:c r="G5" s="61" t="str">
        <x:f>IF(OR(E5="",F5=""),"",E5*F5)</x:f>
      </x:c>
      <x:c r="H5" s="14" t="str">
        <x:v>Verify exact board</x:v>
      </x:c>
    </x:row>
    <x:row r="6" ht="33" customHeight="1">
      <x:c r="A6" s="14" t="str">
        <x:v>PWM</x:v>
      </x:c>
      <x:c r="B6" s="14" t="str">
        <x:v>PCA9685 PWM servo driver</x:v>
      </x:c>
      <x:c r="C6" s="14" t="str">
        <x:v>PCA9685</x:v>
      </x:c>
      <x:c r="D6" s="58" t="str"/>
      <x:c r="E6" s="58" t="n">
        <x:v>1</x:v>
      </x:c>
      <x:c r="F6" s="60" t="str"/>
      <x:c r="G6" s="61" t="str">
        <x:f>IF(OR(E6="",F6=""),"",E6*F6)</x:f>
      </x:c>
      <x:c r="H6" s="14" t="str">
        <x:v>Verify exact board revision</x:v>
      </x:c>
    </x:row>
    <x:row r="7" ht="33" customHeight="1">
      <x:c r="A7" s="14" t="str">
        <x:v>S01</x:v>
      </x:c>
      <x:c r="B7" s="14" t="str">
        <x:v>Base servo</x:v>
      </x:c>
      <x:c r="C7" s="14" t="str">
        <x:v>270-degree per source</x:v>
      </x:c>
      <x:c r="D7" s="58" t="str"/>
      <x:c r="E7" s="58" t="n">
        <x:v>1</x:v>
      </x:c>
      <x:c r="F7" s="60" t="str"/>
      <x:c r="G7" s="61" t="str">
        <x:f>IF(OR(E7="",F7=""),"",E7*F7)</x:f>
      </x:c>
      <x:c r="H7" s="14" t="str">
        <x:v>Exact model and rated torque</x:v>
      </x:c>
    </x:row>
    <x:row r="8" ht="33" customHeight="1">
      <x:c r="A8" s="14" t="str">
        <x:v>S02</x:v>
      </x:c>
      <x:c r="B8" s="14" t="str">
        <x:v>Shoulder servo</x:v>
      </x:c>
      <x:c r="C8" s="14" t="str">
        <x:v>180-degree per source</x:v>
      </x:c>
      <x:c r="D8" s="58" t="str"/>
      <x:c r="E8" s="58" t="n">
        <x:v>1</x:v>
      </x:c>
      <x:c r="F8" s="60" t="str"/>
      <x:c r="G8" s="61" t="str">
        <x:f>IF(OR(E8="",F8=""),"",E8*F8)</x:f>
      </x:c>
      <x:c r="H8" s="14" t="str">
        <x:v>Exact model and rated torque</x:v>
      </x:c>
    </x:row>
    <x:row r="9" ht="33" customHeight="1">
      <x:c r="A9" s="14" t="str">
        <x:v>S03</x:v>
      </x:c>
      <x:c r="B9" s="14" t="str">
        <x:v>Elbow servo</x:v>
      </x:c>
      <x:c r="C9" s="14" t="str">
        <x:v>180-degree per source</x:v>
      </x:c>
      <x:c r="D9" s="58" t="str"/>
      <x:c r="E9" s="58" t="n">
        <x:v>1</x:v>
      </x:c>
      <x:c r="F9" s="60" t="str"/>
      <x:c r="G9" s="61" t="str">
        <x:f>IF(OR(E9="",F9=""),"",E9*F9)</x:f>
      </x:c>
      <x:c r="H9" s="14" t="str">
        <x:v>Exact model and rated torque</x:v>
      </x:c>
    </x:row>
    <x:row r="10" ht="33" customHeight="1">
      <x:c r="A10" s="14" t="str">
        <x:v>S04</x:v>
      </x:c>
      <x:c r="B10" s="14" t="str">
        <x:v>Gripper servo</x:v>
      </x:c>
      <x:c r="C10" s="14" t="str">
        <x:v>Small 180-degree per source</x:v>
      </x:c>
      <x:c r="D10" s="58" t="str"/>
      <x:c r="E10" s="58" t="n">
        <x:v>1</x:v>
      </x:c>
      <x:c r="F10" s="60" t="str"/>
      <x:c r="G10" s="61" t="str">
        <x:f>IF(OR(E10="",F10=""),"",E10*F10)</x:f>
      </x:c>
      <x:c r="H10" s="14" t="str">
        <x:v>Exact model and rated torque</x:v>
      </x:c>
    </x:row>
    <x:row r="11" ht="33" customHeight="1">
      <x:c r="A11" s="14" t="str">
        <x:v>J01</x:v>
      </x:c>
      <x:c r="B11" s="14" t="str">
        <x:v>Analog joystick</x:v>
      </x:c>
      <x:c r="C11" s="14" t="str"/>
      <x:c r="D11" s="58" t="str"/>
      <x:c r="E11" s="58" t="n">
        <x:v>2</x:v>
      </x:c>
      <x:c r="F11" s="60" t="str"/>
      <x:c r="G11" s="61" t="str">
        <x:f>IF(OR(E11="",F11=""),"",E11*F11)</x:f>
      </x:c>
      <x:c r="H11" s="14" t="str">
        <x:v>Identify modules</x:v>
      </x:c>
    </x:row>
    <x:row r="12" ht="33" customHeight="1">
      <x:c r="A12" s="14" t="str">
        <x:v>PSU</x:v>
      </x:c>
      <x:c r="B12" s="14" t="str">
        <x:v>Servo power supply</x:v>
      </x:c>
      <x:c r="C12" s="14" t="str"/>
      <x:c r="D12" s="58" t="str"/>
      <x:c r="E12" s="58" t="n">
        <x:v>1</x:v>
      </x:c>
      <x:c r="F12" s="60" t="str"/>
      <x:c r="G12" s="61" t="str">
        <x:f>IF(OR(E12="",F12=""),"",E12*F12)</x:f>
      </x:c>
      <x:c r="H12" s="14" t="str">
        <x:v>Voltage and capacity essential</x:v>
      </x:c>
    </x:row>
    <x:row r="13" ht="33" customHeight="1">
      <x:c r="A13" s="14" t="str">
        <x:v>PRT</x:v>
      </x:c>
      <x:c r="B13" s="14" t="str">
        <x:v>FDM printed mechanical components</x:v>
      </x:c>
      <x:c r="C13" s="14" t="str"/>
      <x:c r="D13" s="58" t="str"/>
      <x:c r="E13" s="58" t="str"/>
      <x:c r="F13" s="60" t="str"/>
      <x:c r="G13" s="61" t="str">
        <x:f>IF(OR(E13="",F13=""),"",E13*F13)</x:f>
      </x:c>
      <x:c r="H13" s="14" t="str">
        <x:v>Part count and material</x:v>
      </x:c>
    </x:row>
    <x:row r="14" ht="33" customHeight="1">
      <x:c r="A14" s="14" t="str">
        <x:v>HW</x:v>
      </x:c>
      <x:c r="B14" s="14" t="str">
        <x:v>Screws and spacers</x:v>
      </x:c>
      <x:c r="C14" s="14" t="str"/>
      <x:c r="D14" s="58" t="str"/>
      <x:c r="E14" s="58" t="str"/>
      <x:c r="F14" s="60" t="str"/>
      <x:c r="G14" s="61" t="str">
        <x:f>IF(OR(E14="",F14=""),"",E14*F14)</x:f>
      </x:c>
      <x:c r="H14" s="14" t="str">
        <x:v>Specify metric/imperial sizes</x:v>
      </x:c>
    </x:row>
    <x:row r="15" ht="33" customHeight="1">
      <x:c r="A15" s="14" t="str">
        <x:v>C01</x:v>
      </x:c>
      <x:c r="B15" s="14" t="str">
        <x:v>Controller enclosure</x:v>
      </x:c>
      <x:c r="C15" s="14" t="str"/>
      <x:c r="D15" s="58" t="str"/>
      <x:c r="E15" s="58" t="n">
        <x:v>1</x:v>
      </x:c>
      <x:c r="F15" s="60" t="str"/>
      <x:c r="G15" s="61" t="str">
        <x:f>IF(OR(E15="",F15=""),"",E15*F15)</x:f>
      </x:c>
      <x:c r="H15" s="14" t="str">
        <x:v>Printed body and lid</x:v>
      </x:c>
    </x:row>
    <x:row r="18" ht="28" customHeight="1">
      <x:c r="F18" s="32" t="str">
        <x:v>TOTAL ESTIMATE</x:v>
      </x:c>
      <x:c r="G18" s="32" t="n">
        <x:f>SUM(G5:G15)</x:f>
        <x:v>0</x:v>
      </x:c>
    </x:row>
  </x:sheetData>
  <x:mergeCells>
    <x:mergeCell ref="A1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3" hidden="0" customWidth="1"/>
    <x:col min="3" max="3" width="20" hidden="0" customWidth="1"/>
    <x:col min="4" max="4" width="15" hidden="0" customWidth="1"/>
    <x:col min="5" max="5" width="15" hidden="0" customWidth="1"/>
    <x:col min="6" max="6" width="12" hidden="0" customWidth="1"/>
    <x:col min="7" max="7" width="13" hidden="0" customWidth="1"/>
    <x:col min="8" max="8" width="36" hidden="0" customWidth="1"/>
    <x:col min="9" max="9" width="14" hidden="0" customWidth="1"/>
    <x:col min="10" max="10" width="16" hidden="0" customWidth="1"/>
    <x:col min="11" max="11" width="40" hidden="0" customWidth="1"/>
    <x:col min="12" max="12" width="36" hidden="0" customWidth="1"/>
  </x:cols>
  <x:sheetData>
    <x:row r="1" ht="23" customHeight="1">
      <x:c r="A1" s="40" t="str">
        <x:v>ADDITIVE MANUFACTURING | PRINT RECORD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</x:row>
    <x:row r="2" ht="23" customHeight="1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</x:row>
    <x:row r="4" ht="32" customHeight="1">
      <x:c r="A4" s="44" t="str">
        <x:v>Part / subassembly</x:v>
      </x:c>
      <x:c r="B4" s="44" t="str">
        <x:v>Revision</x:v>
      </x:c>
      <x:c r="C4" s="44" t="str">
        <x:v>Material</x:v>
      </x:c>
      <x:c r="D4" s="44" t="str">
        <x:v>Nozzle mm</x:v>
      </x:c>
      <x:c r="E4" s="44" t="str">
        <x:v>Layer mm</x:v>
      </x:c>
      <x:c r="F4" s="44" t="str">
        <x:v>Walls</x:v>
      </x:c>
      <x:c r="G4" s="44" t="str">
        <x:v>Infill %</x:v>
      </x:c>
      <x:c r="H4" s="44" t="str">
        <x:v>Orientation / supports</x:v>
      </x:c>
      <x:c r="I4" s="44" t="str">
        <x:v>Print hrs</x:v>
      </x:c>
      <x:c r="J4" s="44" t="str">
        <x:v>Filament g</x:v>
      </x:c>
      <x:c r="K4" s="44" t="str">
        <x:v>Fit / post-process</x:v>
      </x:c>
      <x:c r="L4" s="44" t="str">
        <x:v>Link to slicer / photo</x:v>
      </x:c>
    </x:row>
    <x:row r="5" ht="34" customHeight="1">
      <x:c r="A5" s="14" t="str">
        <x:v>Base</x:v>
      </x:c>
      <x:c r="B5" s="58" t="str"/>
      <x:c r="C5" s="58" t="str"/>
      <x:c r="D5" s="58" t="str"/>
      <x:c r="E5" s="58" t="str"/>
      <x:c r="F5" s="58" t="str"/>
      <x:c r="G5" s="58" t="str"/>
      <x:c r="H5" s="58" t="str"/>
      <x:c r="I5" s="58" t="str"/>
      <x:c r="J5" s="58" t="str"/>
      <x:c r="K5" s="58" t="str"/>
      <x:c r="L5" s="58" t="str"/>
    </x:row>
    <x:row r="6" ht="34" customHeight="1">
      <x:c r="A6" s="14" t="str">
        <x:v>Shoulder bracket</x:v>
      </x:c>
      <x:c r="B6" s="58" t="str"/>
      <x:c r="C6" s="58" t="str"/>
      <x:c r="D6" s="58" t="str"/>
      <x:c r="E6" s="58" t="str"/>
      <x:c r="F6" s="58" t="str"/>
      <x:c r="G6" s="58" t="str"/>
      <x:c r="H6" s="58" t="str"/>
      <x:c r="I6" s="58" t="str"/>
      <x:c r="J6" s="58" t="str"/>
      <x:c r="K6" s="58" t="str"/>
      <x:c r="L6" s="58" t="str"/>
    </x:row>
    <x:row r="7" ht="34" customHeight="1">
      <x:c r="A7" s="14" t="str">
        <x:v>Arm plate / main link</x:v>
      </x:c>
      <x:c r="B7" s="58" t="str"/>
      <x:c r="C7" s="58" t="str"/>
      <x:c r="D7" s="58" t="str"/>
      <x:c r="E7" s="58" t="str"/>
      <x:c r="F7" s="58" t="str"/>
      <x:c r="G7" s="58" t="str"/>
      <x:c r="H7" s="58" t="str"/>
      <x:c r="I7" s="58" t="str"/>
      <x:c r="J7" s="58" t="str"/>
      <x:c r="K7" s="58" t="str"/>
      <x:c r="L7" s="58" t="str"/>
    </x:row>
    <x:row r="8" ht="34" customHeight="1">
      <x:c r="A8" s="14" t="str">
        <x:v>Forearm plate / link</x:v>
      </x:c>
      <x:c r="B8" s="58" t="str"/>
      <x:c r="C8" s="58" t="str"/>
      <x:c r="D8" s="58" t="str"/>
      <x:c r="E8" s="58" t="str"/>
      <x:c r="F8" s="58" t="str"/>
      <x:c r="G8" s="58" t="str"/>
      <x:c r="H8" s="58" t="str"/>
      <x:c r="I8" s="58" t="str"/>
      <x:c r="J8" s="58" t="str"/>
      <x:c r="K8" s="58" t="str"/>
      <x:c r="L8" s="58" t="str"/>
    </x:row>
    <x:row r="9" ht="34" customHeight="1">
      <x:c r="A9" s="14" t="str">
        <x:v>Spacers / standoffs</x:v>
      </x:c>
      <x:c r="B9" s="58" t="str"/>
      <x:c r="C9" s="58" t="str"/>
      <x:c r="D9" s="58" t="str"/>
      <x:c r="E9" s="58" t="str"/>
      <x:c r="F9" s="58" t="str"/>
      <x:c r="G9" s="58" t="str"/>
      <x:c r="H9" s="58" t="str"/>
      <x:c r="I9" s="58" t="str"/>
      <x:c r="J9" s="58" t="str"/>
      <x:c r="K9" s="58" t="str"/>
      <x:c r="L9" s="58" t="str"/>
    </x:row>
    <x:row r="10" ht="34" customHeight="1">
      <x:c r="A10" s="14" t="str">
        <x:v>Gripper gear</x:v>
      </x:c>
      <x:c r="B10" s="58" t="str"/>
      <x:c r="C10" s="58" t="str"/>
      <x:c r="D10" s="58" t="str"/>
      <x:c r="E10" s="58" t="str"/>
      <x:c r="F10" s="58" t="str"/>
      <x:c r="G10" s="58" t="str"/>
      <x:c r="H10" s="58" t="str"/>
      <x:c r="I10" s="58" t="str"/>
      <x:c r="J10" s="58" t="str"/>
      <x:c r="K10" s="58" t="str"/>
      <x:c r="L10" s="58" t="str"/>
    </x:row>
    <x:row r="11" ht="34" customHeight="1">
      <x:c r="A11" s="14" t="str">
        <x:v>Gripper fingers</x:v>
      </x:c>
      <x:c r="B11" s="58" t="str"/>
      <x:c r="C11" s="58" t="str"/>
      <x:c r="D11" s="58" t="str"/>
      <x:c r="E11" s="58" t="str"/>
      <x:c r="F11" s="58" t="str"/>
      <x:c r="G11" s="58" t="str"/>
      <x:c r="H11" s="58" t="str"/>
      <x:c r="I11" s="58" t="str"/>
      <x:c r="J11" s="58" t="str"/>
      <x:c r="K11" s="58" t="str"/>
      <x:c r="L11" s="58" t="str"/>
    </x:row>
    <x:row r="12" ht="34" customHeight="1">
      <x:c r="A12" s="14" t="str">
        <x:v>Controller box</x:v>
      </x:c>
      <x:c r="B12" s="58" t="str"/>
      <x:c r="C12" s="58" t="str"/>
      <x:c r="D12" s="58" t="str"/>
      <x:c r="E12" s="58" t="str"/>
      <x:c r="F12" s="58" t="str"/>
      <x:c r="G12" s="58" t="str"/>
      <x:c r="H12" s="58" t="str"/>
      <x:c r="I12" s="58" t="str"/>
      <x:c r="J12" s="58" t="str"/>
      <x:c r="K12" s="58" t="str"/>
      <x:c r="L12" s="58" t="str"/>
    </x:row>
    <x:row r="13" ht="34" customHeight="1">
      <x:c r="A13" s="14" t="str">
        <x:v>Controller lid</x:v>
      </x:c>
      <x:c r="B13" s="58" t="str"/>
      <x:c r="C13" s="58" t="str"/>
      <x:c r="D13" s="58" t="str"/>
      <x:c r="E13" s="58" t="str"/>
      <x:c r="F13" s="58" t="str"/>
      <x:c r="G13" s="58" t="str"/>
      <x:c r="H13" s="58" t="str"/>
      <x:c r="I13" s="58" t="str"/>
      <x:c r="J13" s="58" t="str"/>
      <x:c r="K13" s="58" t="str"/>
      <x:c r="L13" s="58" t="str"/>
    </x:row>
  </x:sheetData>
  <x:mergeCells>
    <x:mergeCell ref="A1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9" hidden="0" customWidth="1"/>
    <x:col min="3" max="3" width="40" hidden="0" customWidth="1"/>
    <x:col min="4" max="4" width="32" hidden="0" customWidth="1"/>
    <x:col min="5" max="5" width="19" hidden="0" customWidth="1"/>
    <x:col min="6" max="6" width="17" hidden="0" customWidth="1"/>
    <x:col min="7" max="7" width="19" hidden="0" customWidth="1"/>
    <x:col min="8" max="8" width="49" hidden="0" customWidth="1"/>
    <x:col min="9" max="9" width="42" hidden="0" customWidth="1"/>
  </x:cols>
  <x:sheetData>
    <x:row r="1" ht="23" customHeight="1">
      <x:c r="A1" s="40" t="str">
        <x:v>VALIDATION | MEASURE, RECORD, REPEAT</x:v>
      </x:c>
      <x:c r="B1" s="40"/>
      <x:c r="C1" s="40"/>
      <x:c r="D1" s="40"/>
      <x:c r="E1" s="40"/>
      <x:c r="F1" s="40"/>
      <x:c r="G1" s="40"/>
      <x:c r="H1" s="40"/>
      <x:c r="I1" s="40"/>
    </x:row>
    <x:row r="2" ht="23" customHeight="1">
      <x:c r="A2" s="40"/>
      <x:c r="B2" s="40"/>
      <x:c r="C2" s="40"/>
      <x:c r="D2" s="40"/>
      <x:c r="E2" s="40"/>
      <x:c r="F2" s="40"/>
      <x:c r="G2" s="40"/>
      <x:c r="H2" s="40"/>
      <x:c r="I2" s="40"/>
    </x:row>
    <x:row r="4" ht="31" customHeight="1">
      <x:c r="A4" s="44" t="str">
        <x:v>Test ID</x:v>
      </x:c>
      <x:c r="B4" s="44" t="str">
        <x:v>Date</x:v>
      </x:c>
      <x:c r="C4" s="44" t="str">
        <x:v>Procedure</x:v>
      </x:c>
      <x:c r="D4" s="44" t="str">
        <x:v>Setup / configuration</x:v>
      </x:c>
      <x:c r="E4" s="44" t="str">
        <x:v>Measured value</x:v>
      </x:c>
      <x:c r="F4" s="44" t="str">
        <x:v>Unit</x:v>
      </x:c>
      <x:c r="G4" s="44" t="str">
        <x:v>Result</x:v>
      </x:c>
      <x:c r="H4" s="44" t="str">
        <x:v>Observations / issue</x:v>
      </x:c>
      <x:c r="I4" s="44" t="str">
        <x:v>Photo / video evidence</x:v>
      </x:c>
    </x:row>
    <x:row r="5" ht="37" customHeight="1">
      <x:c r="A5" s="14" t="str">
        <x:v>T01</x:v>
      </x:c>
      <x:c r="B5" s="58" t="str"/>
      <x:c r="C5" s="58" t="str">
        <x:v>Power-on startup in clear workspace</x:v>
      </x:c>
      <x:c r="D5" s="58" t="str"/>
      <x:c r="E5" s="58" t="str"/>
      <x:c r="F5" s="58" t="str"/>
      <x:c r="G5" s="14" t="str">
        <x:v>Not run</x:v>
      </x:c>
      <x:c r="H5" s="58" t="str"/>
      <x:c r="I5" s="58" t="str"/>
    </x:row>
    <x:row r="6" ht="37" customHeight="1">
      <x:c r="A6" s="14" t="str">
        <x:v>T02</x:v>
      </x:c>
      <x:c r="B6" s="58" t="str"/>
      <x:c r="C6" s="58" t="str">
        <x:v>Base rotation with joystick</x:v>
      </x:c>
      <x:c r="D6" s="58" t="str"/>
      <x:c r="E6" s="58" t="str"/>
      <x:c r="F6" s="58" t="str"/>
      <x:c r="G6" s="14" t="str">
        <x:v>Not run</x:v>
      </x:c>
      <x:c r="H6" s="58" t="str"/>
      <x:c r="I6" s="58" t="str"/>
    </x:row>
    <x:row r="7" ht="37" customHeight="1">
      <x:c r="A7" s="14" t="str">
        <x:v>T03</x:v>
      </x:c>
      <x:c r="B7" s="58" t="str"/>
      <x:c r="C7" s="58" t="str">
        <x:v>Shoulder lift with joystick</x:v>
      </x:c>
      <x:c r="D7" s="58" t="str"/>
      <x:c r="E7" s="58" t="str"/>
      <x:c r="F7" s="58" t="str"/>
      <x:c r="G7" s="14" t="str">
        <x:v>Not run</x:v>
      </x:c>
      <x:c r="H7" s="58" t="str"/>
      <x:c r="I7" s="58" t="str"/>
    </x:row>
    <x:row r="8" ht="37" customHeight="1">
      <x:c r="A8" s="14" t="str">
        <x:v>T04</x:v>
      </x:c>
      <x:c r="B8" s="58" t="str"/>
      <x:c r="C8" s="58" t="str">
        <x:v>Elbow movement with joystick</x:v>
      </x:c>
      <x:c r="D8" s="58" t="str"/>
      <x:c r="E8" s="58" t="str"/>
      <x:c r="F8" s="58" t="str"/>
      <x:c r="G8" s="14" t="str">
        <x:v>Not run</x:v>
      </x:c>
      <x:c r="H8" s="58" t="str"/>
      <x:c r="I8" s="58" t="str"/>
    </x:row>
    <x:row r="9" ht="37" customHeight="1">
      <x:c r="A9" s="14" t="str">
        <x:v>T05</x:v>
      </x:c>
      <x:c r="B9" s="58" t="str"/>
      <x:c r="C9" s="58" t="str">
        <x:v>Gripper open/close 10 cycles</x:v>
      </x:c>
      <x:c r="D9" s="58" t="str"/>
      <x:c r="E9" s="58" t="str"/>
      <x:c r="F9" s="58" t="str"/>
      <x:c r="G9" s="14" t="str">
        <x:v>Not run</x:v>
      </x:c>
      <x:c r="H9" s="58" t="str"/>
      <x:c r="I9" s="58" t="str"/>
    </x:row>
    <x:row r="10" ht="37" customHeight="1">
      <x:c r="A10" s="14" t="str">
        <x:v>T06</x:v>
      </x:c>
      <x:c r="B10" s="58" t="str"/>
      <x:c r="C10" s="58" t="str">
        <x:v>Joint limit / collision inspection</x:v>
      </x:c>
      <x:c r="D10" s="58" t="str"/>
      <x:c r="E10" s="58" t="str"/>
      <x:c r="F10" s="58" t="str"/>
      <x:c r="G10" s="14" t="str">
        <x:v>Not run</x:v>
      </x:c>
      <x:c r="H10" s="58" t="str"/>
      <x:c r="I10" s="58" t="str"/>
    </x:row>
    <x:row r="11" ht="37" customHeight="1">
      <x:c r="A11" s="14" t="str">
        <x:v>T07</x:v>
      </x:c>
      <x:c r="B11" s="58" t="str"/>
      <x:c r="C11" s="58" t="str">
        <x:v>Cable clearance through joint travel</x:v>
      </x:c>
      <x:c r="D11" s="58" t="str"/>
      <x:c r="E11" s="58" t="str"/>
      <x:c r="F11" s="58" t="str"/>
      <x:c r="G11" s="14" t="str">
        <x:v>Not run</x:v>
      </x:c>
      <x:c r="H11" s="58" t="str"/>
      <x:c r="I11" s="58" t="str"/>
    </x:row>
    <x:row r="12" ht="37" customHeight="1">
      <x:c r="A12" s="14" t="str">
        <x:v>T08</x:v>
      </x:c>
      <x:c r="B12" s="58" t="str"/>
      <x:c r="C12" s="58" t="str">
        <x:v>Optional payload with known mass</x:v>
      </x:c>
      <x:c r="D12" s="58" t="str"/>
      <x:c r="E12" s="58" t="str"/>
      <x:c r="F12" s="58" t="str"/>
      <x:c r="G12" s="14" t="str">
        <x:v>Not run</x:v>
      </x:c>
      <x:c r="H12" s="58" t="str"/>
      <x:c r="I12" s="58" t="str"/>
    </x:row>
    <x:row r="13" ht="37" customHeight="1">
      <x:c r="A13" s="14" t="str">
        <x:v>T09</x:v>
      </x:c>
      <x:c r="B13" s="58" t="str"/>
      <x:c r="C13" s="58" t="str">
        <x:v>Optional repeatability test</x:v>
      </x:c>
      <x:c r="D13" s="58" t="str"/>
      <x:c r="E13" s="58" t="str"/>
      <x:c r="F13" s="58" t="str"/>
      <x:c r="G13" s="14" t="str">
        <x:v>Not run</x:v>
      </x:c>
      <x:c r="H13" s="58" t="str"/>
      <x:c r="I13" s="58" t="str"/>
    </x:row>
  </x:sheetData>
  <x:mergeCells>
    <x:mergeCell ref="A1:I2"/>
  </x:mergeCells>
  <x:conditionalFormatting sqref="G5:G35">
    <x:cfRule type="expression" dxfId="2" priority="1">
      <x:formula>$G5="Pass"</x:formula>
    </x:cfRule>
    <x:cfRule type="expression" dxfId="3" priority="2">
      <x:formula>$G5="Fail"</x:formula>
    </x:cfRule>
  </x:conditionalFormatting>
  <x:dataValidations count="1">
    <x:dataValidation type="list" sqref="G5:G35">
      <x:formula1>"Not run,Pass,Fail,Inconclusive"</x:formula1>
    </x:dataValidation>
  </x:dataValidations>
  <x:pageMargins left="0.7" right="0.7" top="0.75" bottom="0.75" header="0.3" footer="0.3"/>
</x:worksheet>
</file>